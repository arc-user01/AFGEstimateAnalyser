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defaultThemeVersion="166925"/>
  <mc:AlternateContent xmlns:mc="http://schemas.openxmlformats.org/markup-compatibility/2006">
    <mc:Choice Requires="x15">
      <x15ac:absPath xmlns:x15ac="http://schemas.microsoft.com/office/spreadsheetml/2010/11/ac" url="C:\Users\RizaRais\OneDrive - Delphi Consulting\Desktop\"/>
    </mc:Choice>
  </mc:AlternateContent>
  <xr:revisionPtr revIDLastSave="0" documentId="8_{420EA432-C103-4631-89D1-3A1283192FDA}" xr6:coauthVersionLast="47" xr6:coauthVersionMax="47" xr10:uidLastSave="{00000000-0000-0000-0000-000000000000}"/>
  <bookViews>
    <workbookView xWindow="-110" yWindow="-110" windowWidth="19420" windowHeight="11500" tabRatio="770" xr2:uid="{00000000-000D-0000-FFFF-FFFF00000000}"/>
  </bookViews>
  <sheets>
    <sheet name="Intro" sheetId="3" r:id="rId1"/>
    <sheet name="Summary" sheetId="5" state="hidden" r:id="rId2"/>
    <sheet name="Waterfall" sheetId="27" r:id="rId3"/>
    <sheet name="Agile" sheetId="29" r:id="rId4"/>
    <sheet name="Assumptions" sheetId="16" r:id="rId5"/>
    <sheet name="CAPEX - Waterfall" sheetId="17" state="hidden" r:id="rId6"/>
    <sheet name="CAPEX - Agile" sheetId="19" state="hidden" r:id="rId7"/>
    <sheet name="CAPEX - Others" sheetId="23" state="hidden" r:id="rId8"/>
    <sheet name="OPEX" sheetId="21" state="hidden" r:id="rId9"/>
    <sheet name="Cost Benefit Analysis" sheetId="24" state="hidden" r:id="rId10"/>
    <sheet name="Validations" sheetId="2" state="hidden" r:id="rId11"/>
    <sheet name="Roles" sheetId="15" state="hidden" r:id="rId12"/>
    <sheet name="Version History" sheetId="25" r:id="rId13"/>
    <sheet name="Lists" sheetId="12" state="hidden" r:id="rId14"/>
  </sheets>
  <externalReferences>
    <externalReference r:id="rId15"/>
  </externalReferences>
  <definedNames>
    <definedName name="EIT_Travel_Acc">[1]Parameters!$B$23:$B$28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2" i="27" l="1"/>
  <c r="H12" i="27"/>
  <c r="I12" i="27"/>
  <c r="G13" i="27"/>
  <c r="B349" i="27"/>
  <c r="B312" i="29"/>
  <c r="B311" i="29"/>
  <c r="B310" i="29"/>
  <c r="H309" i="29"/>
  <c r="G309" i="29"/>
  <c r="F309" i="29"/>
  <c r="E309" i="29"/>
  <c r="D309" i="29"/>
  <c r="C309" i="29"/>
  <c r="B307" i="29"/>
  <c r="B306" i="29"/>
  <c r="B302" i="29"/>
  <c r="B301" i="29"/>
  <c r="B300" i="29"/>
  <c r="H299" i="29"/>
  <c r="G299" i="29"/>
  <c r="F299" i="29"/>
  <c r="E299" i="29"/>
  <c r="D299" i="29"/>
  <c r="C299" i="29"/>
  <c r="G286" i="29"/>
  <c r="F286" i="29"/>
  <c r="E286" i="29"/>
  <c r="D286" i="29"/>
  <c r="C286" i="29"/>
  <c r="B286" i="29"/>
  <c r="G285" i="29"/>
  <c r="F285" i="29"/>
  <c r="E285" i="29"/>
  <c r="D285" i="29"/>
  <c r="C285" i="29"/>
  <c r="B285" i="29"/>
  <c r="G284" i="29"/>
  <c r="F284" i="29"/>
  <c r="E284" i="29"/>
  <c r="D284" i="29"/>
  <c r="C284" i="29"/>
  <c r="B284" i="29"/>
  <c r="G283" i="29"/>
  <c r="F283" i="29"/>
  <c r="E283" i="29"/>
  <c r="D283" i="29"/>
  <c r="C283" i="29"/>
  <c r="B283" i="29"/>
  <c r="G282" i="29"/>
  <c r="F282" i="29"/>
  <c r="E282" i="29"/>
  <c r="D282" i="29"/>
  <c r="C282" i="29"/>
  <c r="B282" i="29"/>
  <c r="G281" i="29"/>
  <c r="F281" i="29"/>
  <c r="E281" i="29"/>
  <c r="D281" i="29"/>
  <c r="C281" i="29"/>
  <c r="B281" i="29"/>
  <c r="G278" i="29"/>
  <c r="F278" i="29"/>
  <c r="E278" i="29"/>
  <c r="D278" i="29"/>
  <c r="C278" i="29"/>
  <c r="B278" i="29"/>
  <c r="H277" i="29"/>
  <c r="H276" i="29"/>
  <c r="H275" i="29"/>
  <c r="H274" i="29"/>
  <c r="H273" i="29"/>
  <c r="H272" i="29"/>
  <c r="G269" i="29"/>
  <c r="F269" i="29"/>
  <c r="E269" i="29"/>
  <c r="D269" i="29"/>
  <c r="C269" i="29"/>
  <c r="B269" i="29"/>
  <c r="H268" i="29"/>
  <c r="H267" i="29"/>
  <c r="H266" i="29"/>
  <c r="H265" i="29"/>
  <c r="H264" i="29"/>
  <c r="H263" i="29"/>
  <c r="G256" i="29"/>
  <c r="F256" i="29"/>
  <c r="E256" i="29"/>
  <c r="D256" i="29"/>
  <c r="C256" i="29"/>
  <c r="B256" i="29"/>
  <c r="G255" i="29"/>
  <c r="F255" i="29"/>
  <c r="E255" i="29"/>
  <c r="D255" i="29"/>
  <c r="C255" i="29"/>
  <c r="B255" i="29"/>
  <c r="G254" i="29"/>
  <c r="F254" i="29"/>
  <c r="E254" i="29"/>
  <c r="D254" i="29"/>
  <c r="C254" i="29"/>
  <c r="B254" i="29"/>
  <c r="G253" i="29"/>
  <c r="F253" i="29"/>
  <c r="E253" i="29"/>
  <c r="D253" i="29"/>
  <c r="C253" i="29"/>
  <c r="B253" i="29"/>
  <c r="G252" i="29"/>
  <c r="F252" i="29"/>
  <c r="E252" i="29"/>
  <c r="D252" i="29"/>
  <c r="C252" i="29"/>
  <c r="B252" i="29"/>
  <c r="G251" i="29"/>
  <c r="F251" i="29"/>
  <c r="E251" i="29"/>
  <c r="D251" i="29"/>
  <c r="C251" i="29"/>
  <c r="B251" i="29"/>
  <c r="G248" i="29"/>
  <c r="F248" i="29"/>
  <c r="E248" i="29"/>
  <c r="D248" i="29"/>
  <c r="C248" i="29"/>
  <c r="B248" i="29"/>
  <c r="H247" i="29"/>
  <c r="H246" i="29"/>
  <c r="H245" i="29"/>
  <c r="H244" i="29"/>
  <c r="H243" i="29"/>
  <c r="H242" i="29"/>
  <c r="G239" i="29"/>
  <c r="F239" i="29"/>
  <c r="E239" i="29"/>
  <c r="D239" i="29"/>
  <c r="C239" i="29"/>
  <c r="B239" i="29"/>
  <c r="H238" i="29"/>
  <c r="H237" i="29"/>
  <c r="H236" i="29"/>
  <c r="H235" i="29"/>
  <c r="H234" i="29"/>
  <c r="H233" i="29"/>
  <c r="G226" i="29"/>
  <c r="F226" i="29"/>
  <c r="E226" i="29"/>
  <c r="D226" i="29"/>
  <c r="C226" i="29"/>
  <c r="B226" i="29"/>
  <c r="G225" i="29"/>
  <c r="F225" i="29"/>
  <c r="E225" i="29"/>
  <c r="D225" i="29"/>
  <c r="C225" i="29"/>
  <c r="B225" i="29"/>
  <c r="G224" i="29"/>
  <c r="F224" i="29"/>
  <c r="E224" i="29"/>
  <c r="D224" i="29"/>
  <c r="C224" i="29"/>
  <c r="B224" i="29"/>
  <c r="G223" i="29"/>
  <c r="F223" i="29"/>
  <c r="E223" i="29"/>
  <c r="D223" i="29"/>
  <c r="C223" i="29"/>
  <c r="B223" i="29"/>
  <c r="G222" i="29"/>
  <c r="F222" i="29"/>
  <c r="E222" i="29"/>
  <c r="D222" i="29"/>
  <c r="C222" i="29"/>
  <c r="B222" i="29"/>
  <c r="G221" i="29"/>
  <c r="F221" i="29"/>
  <c r="E221" i="29"/>
  <c r="D221" i="29"/>
  <c r="C221" i="29"/>
  <c r="B221" i="29"/>
  <c r="G218" i="29"/>
  <c r="F218" i="29"/>
  <c r="E218" i="29"/>
  <c r="D218" i="29"/>
  <c r="C218" i="29"/>
  <c r="B218" i="29"/>
  <c r="H217" i="29"/>
  <c r="H216" i="29"/>
  <c r="H215" i="29"/>
  <c r="H214" i="29"/>
  <c r="H213" i="29"/>
  <c r="H212" i="29"/>
  <c r="G209" i="29"/>
  <c r="F209" i="29"/>
  <c r="E209" i="29"/>
  <c r="D209" i="29"/>
  <c r="C209" i="29"/>
  <c r="B209" i="29"/>
  <c r="H208" i="29"/>
  <c r="H207" i="29"/>
  <c r="H206" i="29"/>
  <c r="H205" i="29"/>
  <c r="H204" i="29"/>
  <c r="H203" i="29"/>
  <c r="R194" i="29"/>
  <c r="E194" i="29"/>
  <c r="Q194" i="29" s="1"/>
  <c r="R193" i="29"/>
  <c r="E193" i="29"/>
  <c r="O193" i="29" s="1"/>
  <c r="R192" i="29"/>
  <c r="E192" i="29"/>
  <c r="Q192" i="29" s="1"/>
  <c r="R191" i="29"/>
  <c r="E191" i="29"/>
  <c r="K191" i="29" s="1"/>
  <c r="R190" i="29"/>
  <c r="E190" i="29"/>
  <c r="Q190" i="29" s="1"/>
  <c r="R189" i="29"/>
  <c r="E189" i="29"/>
  <c r="R188" i="29"/>
  <c r="E188" i="29"/>
  <c r="R187" i="29"/>
  <c r="E187" i="29"/>
  <c r="R186" i="29"/>
  <c r="E186" i="29"/>
  <c r="O186" i="29" s="1"/>
  <c r="R185" i="29"/>
  <c r="E185" i="29"/>
  <c r="Q185" i="29" s="1"/>
  <c r="R184" i="29"/>
  <c r="E184" i="29"/>
  <c r="G184" i="29" s="1"/>
  <c r="R183" i="29"/>
  <c r="E183" i="29"/>
  <c r="R182" i="29"/>
  <c r="E182" i="29"/>
  <c r="I182" i="29" s="1"/>
  <c r="R181" i="29"/>
  <c r="E181" i="29"/>
  <c r="I181" i="29" s="1"/>
  <c r="R180" i="29"/>
  <c r="E180" i="29"/>
  <c r="K180" i="29" s="1"/>
  <c r="R179" i="29"/>
  <c r="E179" i="29"/>
  <c r="M179" i="29" s="1"/>
  <c r="R178" i="29"/>
  <c r="E178" i="29"/>
  <c r="O178" i="29" s="1"/>
  <c r="R177" i="29"/>
  <c r="E177" i="29"/>
  <c r="O177" i="29" s="1"/>
  <c r="R176" i="29"/>
  <c r="E176" i="29"/>
  <c r="G176" i="29" s="1"/>
  <c r="R175" i="29"/>
  <c r="E175" i="29"/>
  <c r="Q175" i="29" s="1"/>
  <c r="R174" i="29"/>
  <c r="E174" i="29"/>
  <c r="K174" i="29" s="1"/>
  <c r="R173" i="29"/>
  <c r="E173" i="29"/>
  <c r="I173" i="29" s="1"/>
  <c r="R172" i="29"/>
  <c r="E172" i="29"/>
  <c r="K172" i="29" s="1"/>
  <c r="R168" i="29"/>
  <c r="E168" i="29"/>
  <c r="I168" i="29" s="1"/>
  <c r="R167" i="29"/>
  <c r="E167" i="29"/>
  <c r="K167" i="29" s="1"/>
  <c r="R166" i="29"/>
  <c r="E166" i="29"/>
  <c r="O166" i="29" s="1"/>
  <c r="R165" i="29"/>
  <c r="E165" i="29"/>
  <c r="G165" i="29" s="1"/>
  <c r="R164" i="29"/>
  <c r="E164" i="29"/>
  <c r="Q164" i="29" s="1"/>
  <c r="R163" i="29"/>
  <c r="E163" i="29"/>
  <c r="K163" i="29" s="1"/>
  <c r="R162" i="29"/>
  <c r="E162" i="29"/>
  <c r="Q162" i="29" s="1"/>
  <c r="R161" i="29"/>
  <c r="E161" i="29"/>
  <c r="R160" i="29"/>
  <c r="E160" i="29"/>
  <c r="I160" i="29" s="1"/>
  <c r="R159" i="29"/>
  <c r="E159" i="29"/>
  <c r="R158" i="29"/>
  <c r="E158" i="29"/>
  <c r="O158" i="29" s="1"/>
  <c r="R157" i="29"/>
  <c r="E157" i="29"/>
  <c r="G157" i="29" s="1"/>
  <c r="R156" i="29"/>
  <c r="E156" i="29"/>
  <c r="Q156" i="29" s="1"/>
  <c r="R155" i="29"/>
  <c r="E155" i="29"/>
  <c r="K155" i="29" s="1"/>
  <c r="R154" i="29"/>
  <c r="E154" i="29"/>
  <c r="R153" i="29"/>
  <c r="E153" i="29"/>
  <c r="G153" i="29" s="1"/>
  <c r="R152" i="29"/>
  <c r="E152" i="29"/>
  <c r="I152" i="29" s="1"/>
  <c r="R151" i="29"/>
  <c r="E151" i="29"/>
  <c r="R150" i="29"/>
  <c r="E150" i="29"/>
  <c r="O150" i="29" s="1"/>
  <c r="R149" i="29"/>
  <c r="E149" i="29"/>
  <c r="G149" i="29" s="1"/>
  <c r="R148" i="29"/>
  <c r="E148" i="29"/>
  <c r="O148" i="29" s="1"/>
  <c r="R147" i="29"/>
  <c r="E147" i="29"/>
  <c r="K147" i="29" s="1"/>
  <c r="R146" i="29"/>
  <c r="E146" i="29"/>
  <c r="Q146" i="29" s="1"/>
  <c r="F135" i="29"/>
  <c r="F134" i="29"/>
  <c r="F133" i="29"/>
  <c r="F132" i="29"/>
  <c r="F131" i="29"/>
  <c r="F130" i="29"/>
  <c r="F129" i="29"/>
  <c r="F128" i="29"/>
  <c r="F127" i="29"/>
  <c r="F126" i="29"/>
  <c r="F125" i="29"/>
  <c r="F124" i="29"/>
  <c r="F123" i="29"/>
  <c r="F122" i="29"/>
  <c r="F121" i="29"/>
  <c r="F120" i="29"/>
  <c r="F119" i="29"/>
  <c r="F118" i="29"/>
  <c r="F117" i="29"/>
  <c r="F116" i="29"/>
  <c r="F109" i="29"/>
  <c r="F108" i="29"/>
  <c r="F107" i="29"/>
  <c r="F106" i="29"/>
  <c r="F105" i="29"/>
  <c r="F104" i="29"/>
  <c r="F103" i="29"/>
  <c r="F102" i="29"/>
  <c r="F101" i="29"/>
  <c r="F100" i="29"/>
  <c r="F99" i="29"/>
  <c r="E92" i="29"/>
  <c r="E91" i="29"/>
  <c r="E90" i="29"/>
  <c r="E89" i="29"/>
  <c r="E88" i="29"/>
  <c r="E87" i="29"/>
  <c r="E86" i="29"/>
  <c r="E85" i="29"/>
  <c r="E84" i="29"/>
  <c r="E83" i="29"/>
  <c r="E82" i="29"/>
  <c r="E81" i="29"/>
  <c r="E80" i="29"/>
  <c r="E79" i="29"/>
  <c r="E78" i="29"/>
  <c r="E77" i="29"/>
  <c r="E76" i="29"/>
  <c r="E75" i="29"/>
  <c r="E74" i="29"/>
  <c r="E73" i="29"/>
  <c r="E67" i="29"/>
  <c r="E66" i="29"/>
  <c r="E65" i="29"/>
  <c r="E64" i="29"/>
  <c r="E63" i="29"/>
  <c r="E62" i="29"/>
  <c r="E61" i="29"/>
  <c r="E60" i="29"/>
  <c r="E59" i="29"/>
  <c r="E58" i="29"/>
  <c r="E57" i="29"/>
  <c r="E55" i="29"/>
  <c r="E54" i="29"/>
  <c r="E53" i="29"/>
  <c r="E52" i="29"/>
  <c r="E51" i="29"/>
  <c r="E50" i="29"/>
  <c r="E49" i="29"/>
  <c r="F39" i="29"/>
  <c r="O38" i="29"/>
  <c r="N38" i="29"/>
  <c r="M38" i="29"/>
  <c r="J38" i="29"/>
  <c r="E38" i="29"/>
  <c r="J37" i="29"/>
  <c r="E37" i="29"/>
  <c r="J36" i="29"/>
  <c r="E36" i="29"/>
  <c r="J35" i="29"/>
  <c r="E35" i="29"/>
  <c r="J34" i="29"/>
  <c r="E34" i="29"/>
  <c r="O33" i="29"/>
  <c r="N33" i="29"/>
  <c r="M33" i="29"/>
  <c r="J33" i="29"/>
  <c r="E33" i="29"/>
  <c r="O32" i="29"/>
  <c r="N32" i="29"/>
  <c r="J32" i="29"/>
  <c r="E32" i="29"/>
  <c r="O31" i="29"/>
  <c r="N31" i="29"/>
  <c r="J31" i="29"/>
  <c r="E31" i="29"/>
  <c r="P30" i="29"/>
  <c r="N30" i="29"/>
  <c r="J30" i="29"/>
  <c r="E30" i="29"/>
  <c r="P29" i="29"/>
  <c r="O29" i="29"/>
  <c r="M29" i="29"/>
  <c r="J29" i="29"/>
  <c r="E29" i="29"/>
  <c r="P28" i="29"/>
  <c r="O28" i="29"/>
  <c r="M28" i="29"/>
  <c r="J28" i="29"/>
  <c r="E28" i="29"/>
  <c r="P27" i="29"/>
  <c r="O27" i="29"/>
  <c r="M27" i="29"/>
  <c r="J27" i="29"/>
  <c r="E27" i="29"/>
  <c r="P26" i="29"/>
  <c r="O26" i="29"/>
  <c r="M26" i="29"/>
  <c r="J26" i="29"/>
  <c r="E26" i="29"/>
  <c r="P25" i="29"/>
  <c r="O25" i="29"/>
  <c r="M25" i="29"/>
  <c r="J25" i="29"/>
  <c r="E25" i="29"/>
  <c r="O24" i="29"/>
  <c r="N24" i="29"/>
  <c r="J24" i="29"/>
  <c r="E24" i="29"/>
  <c r="P23" i="29"/>
  <c r="N23" i="29"/>
  <c r="M23" i="29"/>
  <c r="J23" i="29"/>
  <c r="E23" i="29"/>
  <c r="P22" i="29"/>
  <c r="O22" i="29"/>
  <c r="M22" i="29"/>
  <c r="J22" i="29"/>
  <c r="E22" i="29"/>
  <c r="P21" i="29"/>
  <c r="O21" i="29"/>
  <c r="M21" i="29"/>
  <c r="J21" i="29"/>
  <c r="E21" i="29"/>
  <c r="P20" i="29"/>
  <c r="O20" i="29"/>
  <c r="M20" i="29"/>
  <c r="J20" i="29"/>
  <c r="E20" i="29"/>
  <c r="P19" i="29"/>
  <c r="O19" i="29"/>
  <c r="M19" i="29"/>
  <c r="J19" i="29"/>
  <c r="E19" i="29"/>
  <c r="P18" i="29"/>
  <c r="N18" i="29"/>
  <c r="M18" i="29"/>
  <c r="J18" i="29"/>
  <c r="E18" i="29"/>
  <c r="P17" i="29"/>
  <c r="O17" i="29"/>
  <c r="M17" i="29"/>
  <c r="J17" i="29"/>
  <c r="E17" i="29"/>
  <c r="P16" i="29"/>
  <c r="O16" i="29"/>
  <c r="M16" i="29"/>
  <c r="J16" i="29"/>
  <c r="E16" i="29"/>
  <c r="O15" i="29"/>
  <c r="N15" i="29"/>
  <c r="I15" i="29"/>
  <c r="H15" i="29"/>
  <c r="G15" i="29"/>
  <c r="E15" i="29"/>
  <c r="P14" i="29"/>
  <c r="O14" i="29"/>
  <c r="I14" i="29"/>
  <c r="H14" i="29"/>
  <c r="G14" i="29"/>
  <c r="E14" i="29"/>
  <c r="P13" i="29"/>
  <c r="O13" i="29"/>
  <c r="I13" i="29"/>
  <c r="H13" i="29"/>
  <c r="G13" i="29"/>
  <c r="E13" i="29"/>
  <c r="P12" i="29"/>
  <c r="O12" i="29"/>
  <c r="I12" i="29"/>
  <c r="H12" i="29"/>
  <c r="G12" i="29"/>
  <c r="J12" i="29" s="1"/>
  <c r="E12" i="29"/>
  <c r="P11" i="29"/>
  <c r="O11" i="29"/>
  <c r="M11" i="29"/>
  <c r="I11" i="29"/>
  <c r="H11" i="29"/>
  <c r="G11" i="29"/>
  <c r="E11" i="29"/>
  <c r="H9" i="29"/>
  <c r="L8" i="29"/>
  <c r="E173" i="27"/>
  <c r="E174" i="27"/>
  <c r="E175" i="27"/>
  <c r="E176" i="27"/>
  <c r="E177" i="27"/>
  <c r="E178" i="27"/>
  <c r="E179" i="27"/>
  <c r="E180" i="27"/>
  <c r="E181" i="27"/>
  <c r="E182" i="27"/>
  <c r="E183" i="27"/>
  <c r="E184" i="27"/>
  <c r="E185" i="27"/>
  <c r="E186" i="27"/>
  <c r="E187" i="27"/>
  <c r="E188" i="27"/>
  <c r="E189" i="27"/>
  <c r="E190" i="27"/>
  <c r="E191" i="27"/>
  <c r="E192" i="27"/>
  <c r="E193" i="27"/>
  <c r="E194" i="27"/>
  <c r="E172" i="27"/>
  <c r="E165" i="27"/>
  <c r="E166" i="27"/>
  <c r="E167" i="27"/>
  <c r="E168" i="27"/>
  <c r="E147" i="27"/>
  <c r="E148" i="27"/>
  <c r="E149" i="27"/>
  <c r="E150" i="27"/>
  <c r="E151" i="27"/>
  <c r="E152" i="27"/>
  <c r="E153" i="27"/>
  <c r="E154" i="27"/>
  <c r="E155" i="27"/>
  <c r="E156" i="27"/>
  <c r="E157" i="27"/>
  <c r="E158" i="27"/>
  <c r="E159" i="27"/>
  <c r="E160" i="27"/>
  <c r="E161" i="27"/>
  <c r="E162" i="27"/>
  <c r="E163" i="27"/>
  <c r="E164" i="27"/>
  <c r="E146" i="27"/>
  <c r="K27" i="29" l="1"/>
  <c r="N27" i="29" s="1"/>
  <c r="K38" i="29"/>
  <c r="P38" i="29" s="1"/>
  <c r="B309" i="29"/>
  <c r="H285" i="29"/>
  <c r="H284" i="29"/>
  <c r="B299" i="29"/>
  <c r="H255" i="29"/>
  <c r="J13" i="29"/>
  <c r="K13" i="29" s="1"/>
  <c r="M13" i="29" s="1"/>
  <c r="H253" i="29"/>
  <c r="D257" i="29"/>
  <c r="H252" i="29"/>
  <c r="H254" i="29"/>
  <c r="K25" i="29"/>
  <c r="N25" i="29" s="1"/>
  <c r="E257" i="29"/>
  <c r="K17" i="29"/>
  <c r="N17" i="29" s="1"/>
  <c r="S187" i="29"/>
  <c r="H209" i="29"/>
  <c r="E201" i="29" s="1"/>
  <c r="H225" i="29"/>
  <c r="M174" i="29"/>
  <c r="Q174" i="29"/>
  <c r="S174" i="29"/>
  <c r="I174" i="29"/>
  <c r="K194" i="29"/>
  <c r="S194" i="29"/>
  <c r="S164" i="29"/>
  <c r="O174" i="29"/>
  <c r="G185" i="29"/>
  <c r="S192" i="29"/>
  <c r="K185" i="29"/>
  <c r="M185" i="29"/>
  <c r="K24" i="29"/>
  <c r="M24" i="29" s="1"/>
  <c r="G182" i="29"/>
  <c r="F287" i="29"/>
  <c r="S161" i="29"/>
  <c r="K182" i="29"/>
  <c r="H251" i="29"/>
  <c r="E287" i="29"/>
  <c r="Q158" i="29"/>
  <c r="S172" i="29"/>
  <c r="K184" i="29"/>
  <c r="G178" i="29"/>
  <c r="O182" i="29"/>
  <c r="M184" i="29"/>
  <c r="Q193" i="29"/>
  <c r="G287" i="29"/>
  <c r="I178" i="29"/>
  <c r="S180" i="29"/>
  <c r="Q182" i="29"/>
  <c r="O184" i="29"/>
  <c r="K192" i="29"/>
  <c r="S193" i="29"/>
  <c r="H282" i="29"/>
  <c r="S175" i="29"/>
  <c r="K178" i="29"/>
  <c r="S182" i="29"/>
  <c r="S184" i="29"/>
  <c r="I186" i="29"/>
  <c r="M192" i="29"/>
  <c r="H239" i="29"/>
  <c r="E231" i="29" s="1"/>
  <c r="H248" i="29"/>
  <c r="E240" i="29" s="1"/>
  <c r="B257" i="29"/>
  <c r="F257" i="29"/>
  <c r="H278" i="29"/>
  <c r="E270" i="29" s="1"/>
  <c r="M158" i="29"/>
  <c r="I184" i="29"/>
  <c r="I193" i="29"/>
  <c r="M182" i="29"/>
  <c r="M193" i="29"/>
  <c r="G257" i="29"/>
  <c r="S158" i="29"/>
  <c r="G192" i="29"/>
  <c r="G174" i="29"/>
  <c r="O192" i="29"/>
  <c r="G194" i="29"/>
  <c r="C257" i="29"/>
  <c r="H224" i="29"/>
  <c r="H223" i="29"/>
  <c r="H218" i="29"/>
  <c r="E210" i="29" s="1"/>
  <c r="D227" i="29"/>
  <c r="H222" i="29"/>
  <c r="E227" i="29"/>
  <c r="C227" i="29"/>
  <c r="G190" i="29"/>
  <c r="S155" i="29"/>
  <c r="O191" i="29"/>
  <c r="I176" i="29"/>
  <c r="K177" i="29"/>
  <c r="K190" i="29"/>
  <c r="Q191" i="29"/>
  <c r="G177" i="29"/>
  <c r="M191" i="29"/>
  <c r="S166" i="29"/>
  <c r="I190" i="29"/>
  <c r="M149" i="29"/>
  <c r="S173" i="29"/>
  <c r="K176" i="29"/>
  <c r="M177" i="29"/>
  <c r="S181" i="29"/>
  <c r="S186" i="29"/>
  <c r="M190" i="29"/>
  <c r="O149" i="29"/>
  <c r="M175" i="29"/>
  <c r="M176" i="29"/>
  <c r="Q177" i="29"/>
  <c r="S185" i="29"/>
  <c r="G186" i="29"/>
  <c r="S188" i="29"/>
  <c r="O190" i="29"/>
  <c r="G193" i="29"/>
  <c r="I194" i="29"/>
  <c r="I177" i="29"/>
  <c r="S149" i="29"/>
  <c r="O175" i="29"/>
  <c r="O176" i="29"/>
  <c r="S177" i="29"/>
  <c r="S154" i="29"/>
  <c r="S176" i="29"/>
  <c r="S178" i="29"/>
  <c r="I185" i="29"/>
  <c r="K186" i="29"/>
  <c r="S189" i="29"/>
  <c r="S190" i="29"/>
  <c r="I192" i="29"/>
  <c r="K193" i="29"/>
  <c r="O194" i="29"/>
  <c r="S153" i="29"/>
  <c r="K157" i="29"/>
  <c r="O167" i="29"/>
  <c r="S147" i="29"/>
  <c r="Q150" i="29"/>
  <c r="S150" i="29"/>
  <c r="O157" i="29"/>
  <c r="Q163" i="29"/>
  <c r="K166" i="29"/>
  <c r="S156" i="29"/>
  <c r="M157" i="29"/>
  <c r="O163" i="29"/>
  <c r="I166" i="29"/>
  <c r="S148" i="29"/>
  <c r="S151" i="29"/>
  <c r="S157" i="29"/>
  <c r="S160" i="29"/>
  <c r="S163" i="29"/>
  <c r="M166" i="29"/>
  <c r="S168" i="29"/>
  <c r="S152" i="29"/>
  <c r="Q166" i="29"/>
  <c r="I162" i="29"/>
  <c r="I165" i="29"/>
  <c r="M156" i="29"/>
  <c r="K165" i="29"/>
  <c r="G151" i="29"/>
  <c r="M152" i="29"/>
  <c r="S159" i="29"/>
  <c r="S162" i="29"/>
  <c r="G147" i="29"/>
  <c r="G150" i="29"/>
  <c r="G155" i="29"/>
  <c r="I150" i="29"/>
  <c r="K151" i="29"/>
  <c r="M155" i="29"/>
  <c r="G158" i="29"/>
  <c r="I159" i="29"/>
  <c r="S167" i="29"/>
  <c r="O147" i="29"/>
  <c r="I149" i="29"/>
  <c r="K150" i="29"/>
  <c r="O151" i="29"/>
  <c r="I158" i="29"/>
  <c r="K159" i="29"/>
  <c r="I163" i="29"/>
  <c r="G167" i="29"/>
  <c r="G152" i="29"/>
  <c r="S146" i="29"/>
  <c r="M165" i="29"/>
  <c r="I151" i="29"/>
  <c r="G159" i="29"/>
  <c r="M164" i="29"/>
  <c r="O165" i="29"/>
  <c r="M147" i="29"/>
  <c r="G163" i="29"/>
  <c r="S165" i="29"/>
  <c r="O155" i="29"/>
  <c r="Q147" i="29"/>
  <c r="K149" i="29"/>
  <c r="M150" i="29"/>
  <c r="Q155" i="29"/>
  <c r="I157" i="29"/>
  <c r="K158" i="29"/>
  <c r="O159" i="29"/>
  <c r="M163" i="29"/>
  <c r="G166" i="29"/>
  <c r="I167" i="29"/>
  <c r="K29" i="29"/>
  <c r="N29" i="29" s="1"/>
  <c r="K22" i="29"/>
  <c r="N22" i="29" s="1"/>
  <c r="K30" i="29"/>
  <c r="O30" i="29" s="1"/>
  <c r="K37" i="29"/>
  <c r="F110" i="29"/>
  <c r="E95" i="29" s="1"/>
  <c r="B334" i="29" s="1"/>
  <c r="K21" i="29"/>
  <c r="N21" i="29" s="1"/>
  <c r="E93" i="29"/>
  <c r="E70" i="29" s="1"/>
  <c r="K20" i="29"/>
  <c r="N20" i="29" s="1"/>
  <c r="K19" i="29"/>
  <c r="N19" i="29" s="1"/>
  <c r="K34" i="29"/>
  <c r="K12" i="29"/>
  <c r="M12" i="29" s="1"/>
  <c r="I40" i="29"/>
  <c r="K36" i="29"/>
  <c r="K16" i="29"/>
  <c r="N16" i="29" s="1"/>
  <c r="K18" i="29"/>
  <c r="O18" i="29" s="1"/>
  <c r="K32" i="29"/>
  <c r="M32" i="29" s="1"/>
  <c r="K28" i="29"/>
  <c r="N28" i="29" s="1"/>
  <c r="K26" i="29"/>
  <c r="N26" i="29" s="1"/>
  <c r="F40" i="29"/>
  <c r="K183" i="29"/>
  <c r="I183" i="29"/>
  <c r="G183" i="29"/>
  <c r="G40" i="29"/>
  <c r="I154" i="29"/>
  <c r="G179" i="29"/>
  <c r="K33" i="29"/>
  <c r="P33" i="29" s="1"/>
  <c r="K35" i="29"/>
  <c r="F136" i="29"/>
  <c r="E112" i="29" s="1"/>
  <c r="B333" i="29" s="1"/>
  <c r="I146" i="29"/>
  <c r="Q154" i="29"/>
  <c r="Q161" i="29"/>
  <c r="O161" i="29"/>
  <c r="M161" i="29"/>
  <c r="I161" i="29"/>
  <c r="I179" i="29"/>
  <c r="O183" i="29"/>
  <c r="G187" i="29"/>
  <c r="O189" i="29"/>
  <c r="I189" i="29"/>
  <c r="M189" i="29"/>
  <c r="K189" i="29"/>
  <c r="G189" i="29"/>
  <c r="F227" i="29"/>
  <c r="Q153" i="29"/>
  <c r="O153" i="29"/>
  <c r="M153" i="29"/>
  <c r="I153" i="29"/>
  <c r="K156" i="29"/>
  <c r="I156" i="29"/>
  <c r="G156" i="29"/>
  <c r="G161" i="29"/>
  <c r="K164" i="29"/>
  <c r="I164" i="29"/>
  <c r="G164" i="29"/>
  <c r="O173" i="29"/>
  <c r="M173" i="29"/>
  <c r="K173" i="29"/>
  <c r="G173" i="29"/>
  <c r="O181" i="29"/>
  <c r="M181" i="29"/>
  <c r="K181" i="29"/>
  <c r="G181" i="29"/>
  <c r="Q183" i="29"/>
  <c r="I187" i="29"/>
  <c r="Q189" i="29"/>
  <c r="G227" i="29"/>
  <c r="H256" i="29"/>
  <c r="H269" i="29"/>
  <c r="E261" i="29" s="1"/>
  <c r="H281" i="29"/>
  <c r="H283" i="29"/>
  <c r="Q179" i="29"/>
  <c r="O179" i="29"/>
  <c r="K179" i="29"/>
  <c r="M183" i="29"/>
  <c r="K148" i="29"/>
  <c r="I148" i="29"/>
  <c r="G148" i="29"/>
  <c r="Q160" i="29"/>
  <c r="O160" i="29"/>
  <c r="K160" i="29"/>
  <c r="K161" i="29"/>
  <c r="Q168" i="29"/>
  <c r="O168" i="29"/>
  <c r="K168" i="29"/>
  <c r="B287" i="29"/>
  <c r="G39" i="29"/>
  <c r="J11" i="29"/>
  <c r="M148" i="29"/>
  <c r="Q152" i="29"/>
  <c r="O152" i="29"/>
  <c r="K152" i="29"/>
  <c r="K153" i="29"/>
  <c r="O156" i="29"/>
  <c r="G160" i="29"/>
  <c r="O164" i="29"/>
  <c r="G168" i="29"/>
  <c r="Q173" i="29"/>
  <c r="S179" i="29"/>
  <c r="Q181" i="29"/>
  <c r="S183" i="29"/>
  <c r="J15" i="29"/>
  <c r="K15" i="29" s="1"/>
  <c r="Q180" i="29"/>
  <c r="O180" i="29"/>
  <c r="M180" i="29"/>
  <c r="I180" i="29"/>
  <c r="O154" i="29"/>
  <c r="M154" i="29"/>
  <c r="K154" i="29"/>
  <c r="G154" i="29"/>
  <c r="O146" i="29"/>
  <c r="M146" i="29"/>
  <c r="K146" i="29"/>
  <c r="G146" i="29"/>
  <c r="M187" i="29"/>
  <c r="Q187" i="29"/>
  <c r="O187" i="29"/>
  <c r="K187" i="29"/>
  <c r="H39" i="29"/>
  <c r="E68" i="29"/>
  <c r="E46" i="29" s="1"/>
  <c r="Q172" i="29"/>
  <c r="O172" i="29"/>
  <c r="M172" i="29"/>
  <c r="I172" i="29"/>
  <c r="Q188" i="29"/>
  <c r="O188" i="29"/>
  <c r="K188" i="29"/>
  <c r="M188" i="29"/>
  <c r="I188" i="29"/>
  <c r="B227" i="29"/>
  <c r="C287" i="29"/>
  <c r="I39" i="29"/>
  <c r="J14" i="29"/>
  <c r="K14" i="29" s="1"/>
  <c r="K23" i="29"/>
  <c r="O23" i="29" s="1"/>
  <c r="K31" i="29"/>
  <c r="Q148" i="29"/>
  <c r="M160" i="29"/>
  <c r="O162" i="29"/>
  <c r="M162" i="29"/>
  <c r="K162" i="29"/>
  <c r="G162" i="29"/>
  <c r="M168" i="29"/>
  <c r="G172" i="29"/>
  <c r="K175" i="29"/>
  <c r="I175" i="29"/>
  <c r="G175" i="29"/>
  <c r="G180" i="29"/>
  <c r="G188" i="29"/>
  <c r="H226" i="29"/>
  <c r="D287" i="29"/>
  <c r="H286" i="29"/>
  <c r="H40" i="29"/>
  <c r="Q149" i="29"/>
  <c r="M151" i="29"/>
  <c r="Q157" i="29"/>
  <c r="M159" i="29"/>
  <c r="Q165" i="29"/>
  <c r="M167" i="29"/>
  <c r="Q176" i="29"/>
  <c r="M178" i="29"/>
  <c r="Q184" i="29"/>
  <c r="O185" i="29"/>
  <c r="M186" i="29"/>
  <c r="M194" i="29"/>
  <c r="H221" i="29"/>
  <c r="I147" i="29"/>
  <c r="Q151" i="29"/>
  <c r="I155" i="29"/>
  <c r="Q159" i="29"/>
  <c r="Q167" i="29"/>
  <c r="Q178" i="29"/>
  <c r="Q186" i="29"/>
  <c r="G191" i="29"/>
  <c r="I191" i="29"/>
  <c r="S191" i="29"/>
  <c r="H257" i="29" l="1"/>
  <c r="E230" i="29" s="1"/>
  <c r="C333" i="29" s="1"/>
  <c r="M30" i="29"/>
  <c r="P32" i="29"/>
  <c r="S195" i="29"/>
  <c r="E171" i="29" s="1"/>
  <c r="P24" i="29"/>
  <c r="H227" i="29"/>
  <c r="E200" i="29" s="1"/>
  <c r="C334" i="29" s="1"/>
  <c r="D334" i="29" s="1"/>
  <c r="K195" i="29"/>
  <c r="S169" i="29"/>
  <c r="E145" i="29" s="1"/>
  <c r="Q169" i="29"/>
  <c r="N13" i="29"/>
  <c r="O41" i="29"/>
  <c r="N12" i="29"/>
  <c r="M195" i="29"/>
  <c r="G169" i="29"/>
  <c r="Q195" i="29"/>
  <c r="N14" i="29"/>
  <c r="M14" i="29"/>
  <c r="M15" i="29"/>
  <c r="P15" i="29"/>
  <c r="O195" i="29"/>
  <c r="H287" i="29"/>
  <c r="G195" i="29"/>
  <c r="M169" i="29"/>
  <c r="I169" i="29"/>
  <c r="I195" i="29"/>
  <c r="K169" i="29"/>
  <c r="M31" i="29"/>
  <c r="P31" i="29"/>
  <c r="O169" i="29"/>
  <c r="K11" i="29"/>
  <c r="J39" i="29"/>
  <c r="E29" i="27"/>
  <c r="E30" i="27"/>
  <c r="E31" i="27"/>
  <c r="E32" i="27"/>
  <c r="E33" i="27"/>
  <c r="E34" i="27"/>
  <c r="E35" i="27"/>
  <c r="E36" i="27"/>
  <c r="E37" i="27"/>
  <c r="E38" i="27"/>
  <c r="E12" i="27"/>
  <c r="E13" i="27"/>
  <c r="E14" i="27"/>
  <c r="E15" i="27"/>
  <c r="E16" i="27"/>
  <c r="E17" i="27"/>
  <c r="E18" i="27"/>
  <c r="E19" i="27"/>
  <c r="E20" i="27"/>
  <c r="E21" i="27"/>
  <c r="E22" i="27"/>
  <c r="E23" i="27"/>
  <c r="E24" i="27"/>
  <c r="E25" i="27"/>
  <c r="E26" i="27"/>
  <c r="E27" i="27"/>
  <c r="E28" i="27"/>
  <c r="E11" i="27"/>
  <c r="E249" i="29" l="1"/>
  <c r="E219" i="29"/>
  <c r="P198" i="29"/>
  <c r="J198" i="29"/>
  <c r="E319" i="29" s="1"/>
  <c r="E321" i="29" s="1"/>
  <c r="R198" i="29"/>
  <c r="E197" i="29" s="1"/>
  <c r="E142" i="29" s="1"/>
  <c r="E140" i="29" s="1"/>
  <c r="H198" i="29"/>
  <c r="D319" i="29" s="1"/>
  <c r="D321" i="29" s="1"/>
  <c r="P41" i="29"/>
  <c r="K41" i="29"/>
  <c r="E4" i="29" s="1"/>
  <c r="N11" i="29"/>
  <c r="N41" i="29" s="1"/>
  <c r="M41" i="29"/>
  <c r="L198" i="29"/>
  <c r="F198" i="29"/>
  <c r="E260" i="29"/>
  <c r="E279" i="29"/>
  <c r="D333" i="29"/>
  <c r="N198" i="29"/>
  <c r="D292" i="29" l="1"/>
  <c r="E305" i="29" s="1"/>
  <c r="E304" i="29" s="1"/>
  <c r="E314" i="29" s="1"/>
  <c r="E322" i="29" s="1"/>
  <c r="E323" i="29" s="1"/>
  <c r="C292" i="29"/>
  <c r="D305" i="29" s="1"/>
  <c r="D304" i="29" s="1"/>
  <c r="D314" i="29" s="1"/>
  <c r="D322" i="29" s="1"/>
  <c r="D323" i="29" s="1"/>
  <c r="H319" i="29"/>
  <c r="H321" i="29" s="1"/>
  <c r="G292" i="29"/>
  <c r="H305" i="29" s="1"/>
  <c r="H304" i="29" s="1"/>
  <c r="H314" i="29" s="1"/>
  <c r="H322" i="29" s="1"/>
  <c r="C335" i="29"/>
  <c r="C337" i="29" s="1"/>
  <c r="C338" i="29" s="1"/>
  <c r="G319" i="29"/>
  <c r="G321" i="29" s="1"/>
  <c r="F292" i="29"/>
  <c r="G305" i="29" s="1"/>
  <c r="G304" i="29" s="1"/>
  <c r="G314" i="29" s="1"/>
  <c r="G322" i="29" s="1"/>
  <c r="B335" i="29"/>
  <c r="C318" i="29"/>
  <c r="C319" i="29"/>
  <c r="B292" i="29"/>
  <c r="F319" i="29"/>
  <c r="F321" i="29" s="1"/>
  <c r="E292" i="29"/>
  <c r="F305" i="29" s="1"/>
  <c r="F304" i="29" s="1"/>
  <c r="F314" i="29" s="1"/>
  <c r="F322" i="29" s="1"/>
  <c r="H323" i="29" l="1"/>
  <c r="F323" i="29"/>
  <c r="C305" i="29"/>
  <c r="H292" i="29"/>
  <c r="E290" i="29" s="1"/>
  <c r="B319" i="29"/>
  <c r="C321" i="29"/>
  <c r="B318" i="29"/>
  <c r="D335" i="29"/>
  <c r="D337" i="29" s="1"/>
  <c r="D338" i="29" s="1"/>
  <c r="G323" i="29"/>
  <c r="E16" i="23"/>
  <c r="S64" i="19"/>
  <c r="S65" i="19"/>
  <c r="S66" i="19"/>
  <c r="S67" i="19"/>
  <c r="S68" i="19"/>
  <c r="B321" i="29" l="1"/>
  <c r="B305" i="29"/>
  <c r="B304" i="29" s="1"/>
  <c r="B314" i="29" s="1"/>
  <c r="C304" i="29"/>
  <c r="C314" i="29" s="1"/>
  <c r="C322" i="29" s="1"/>
  <c r="B322" i="29" s="1"/>
  <c r="B312" i="27"/>
  <c r="B311" i="27"/>
  <c r="B310" i="27"/>
  <c r="H309" i="27"/>
  <c r="G309" i="27"/>
  <c r="F309" i="27"/>
  <c r="E309" i="27"/>
  <c r="D309" i="27"/>
  <c r="C309" i="27"/>
  <c r="B307" i="27"/>
  <c r="B306" i="27"/>
  <c r="B302" i="27"/>
  <c r="B301" i="27"/>
  <c r="B300" i="27"/>
  <c r="H299" i="27"/>
  <c r="G299" i="27"/>
  <c r="F299" i="27"/>
  <c r="E299" i="27"/>
  <c r="D299" i="27"/>
  <c r="C299" i="27"/>
  <c r="G286" i="27"/>
  <c r="F286" i="27"/>
  <c r="E286" i="27"/>
  <c r="D286" i="27"/>
  <c r="C286" i="27"/>
  <c r="B286" i="27"/>
  <c r="G285" i="27"/>
  <c r="F285" i="27"/>
  <c r="E285" i="27"/>
  <c r="D285" i="27"/>
  <c r="C285" i="27"/>
  <c r="B285" i="27"/>
  <c r="G284" i="27"/>
  <c r="F284" i="27"/>
  <c r="E284" i="27"/>
  <c r="D284" i="27"/>
  <c r="C284" i="27"/>
  <c r="B284" i="27"/>
  <c r="G283" i="27"/>
  <c r="F283" i="27"/>
  <c r="E283" i="27"/>
  <c r="D283" i="27"/>
  <c r="C283" i="27"/>
  <c r="B283" i="27"/>
  <c r="G282" i="27"/>
  <c r="F282" i="27"/>
  <c r="E282" i="27"/>
  <c r="D282" i="27"/>
  <c r="C282" i="27"/>
  <c r="B282" i="27"/>
  <c r="G281" i="27"/>
  <c r="F281" i="27"/>
  <c r="E281" i="27"/>
  <c r="D281" i="27"/>
  <c r="C281" i="27"/>
  <c r="B281" i="27"/>
  <c r="G278" i="27"/>
  <c r="F278" i="27"/>
  <c r="E278" i="27"/>
  <c r="D278" i="27"/>
  <c r="C278" i="27"/>
  <c r="B278" i="27"/>
  <c r="H277" i="27"/>
  <c r="H276" i="27"/>
  <c r="H275" i="27"/>
  <c r="H274" i="27"/>
  <c r="H273" i="27"/>
  <c r="H272" i="27"/>
  <c r="G269" i="27"/>
  <c r="F269" i="27"/>
  <c r="E269" i="27"/>
  <c r="D269" i="27"/>
  <c r="C269" i="27"/>
  <c r="B269" i="27"/>
  <c r="H268" i="27"/>
  <c r="H267" i="27"/>
  <c r="H266" i="27"/>
  <c r="H265" i="27"/>
  <c r="H264" i="27"/>
  <c r="H263" i="27"/>
  <c r="G256" i="27"/>
  <c r="F256" i="27"/>
  <c r="E256" i="27"/>
  <c r="D256" i="27"/>
  <c r="C256" i="27"/>
  <c r="B256" i="27"/>
  <c r="G255" i="27"/>
  <c r="F255" i="27"/>
  <c r="E255" i="27"/>
  <c r="D255" i="27"/>
  <c r="C255" i="27"/>
  <c r="B255" i="27"/>
  <c r="G254" i="27"/>
  <c r="F254" i="27"/>
  <c r="E254" i="27"/>
  <c r="D254" i="27"/>
  <c r="C254" i="27"/>
  <c r="B254" i="27"/>
  <c r="G253" i="27"/>
  <c r="F253" i="27"/>
  <c r="E253" i="27"/>
  <c r="D253" i="27"/>
  <c r="C253" i="27"/>
  <c r="B253" i="27"/>
  <c r="G252" i="27"/>
  <c r="F252" i="27"/>
  <c r="E252" i="27"/>
  <c r="D252" i="27"/>
  <c r="C252" i="27"/>
  <c r="B252" i="27"/>
  <c r="G251" i="27"/>
  <c r="F251" i="27"/>
  <c r="E251" i="27"/>
  <c r="D251" i="27"/>
  <c r="C251" i="27"/>
  <c r="B251" i="27"/>
  <c r="G248" i="27"/>
  <c r="F248" i="27"/>
  <c r="E248" i="27"/>
  <c r="D248" i="27"/>
  <c r="C248" i="27"/>
  <c r="B248" i="27"/>
  <c r="H247" i="27"/>
  <c r="H246" i="27"/>
  <c r="H245" i="27"/>
  <c r="H244" i="27"/>
  <c r="H243" i="27"/>
  <c r="H242" i="27"/>
  <c r="G239" i="27"/>
  <c r="F239" i="27"/>
  <c r="E239" i="27"/>
  <c r="D239" i="27"/>
  <c r="C239" i="27"/>
  <c r="B239" i="27"/>
  <c r="H238" i="27"/>
  <c r="H237" i="27"/>
  <c r="H236" i="27"/>
  <c r="H235" i="27"/>
  <c r="H234" i="27"/>
  <c r="H233" i="27"/>
  <c r="B222" i="27"/>
  <c r="C222" i="27"/>
  <c r="D222" i="27"/>
  <c r="E222" i="27"/>
  <c r="F222" i="27"/>
  <c r="G222" i="27"/>
  <c r="B223" i="27"/>
  <c r="C223" i="27"/>
  <c r="D223" i="27"/>
  <c r="E223" i="27"/>
  <c r="F223" i="27"/>
  <c r="G223" i="27"/>
  <c r="B224" i="27"/>
  <c r="C224" i="27"/>
  <c r="D224" i="27"/>
  <c r="E224" i="27"/>
  <c r="F224" i="27"/>
  <c r="G224" i="27"/>
  <c r="B225" i="27"/>
  <c r="C225" i="27"/>
  <c r="D225" i="27"/>
  <c r="E225" i="27"/>
  <c r="F225" i="27"/>
  <c r="G225" i="27"/>
  <c r="B226" i="27"/>
  <c r="C226" i="27"/>
  <c r="D226" i="27"/>
  <c r="E226" i="27"/>
  <c r="F226" i="27"/>
  <c r="G226" i="27"/>
  <c r="C221" i="27"/>
  <c r="D221" i="27"/>
  <c r="E221" i="27"/>
  <c r="F221" i="27"/>
  <c r="G221" i="27"/>
  <c r="B221" i="27"/>
  <c r="G218" i="27"/>
  <c r="F218" i="27"/>
  <c r="E218" i="27"/>
  <c r="D218" i="27"/>
  <c r="C218" i="27"/>
  <c r="B218" i="27"/>
  <c r="H217" i="27"/>
  <c r="H216" i="27"/>
  <c r="H215" i="27"/>
  <c r="H214" i="27"/>
  <c r="H213" i="27"/>
  <c r="H212" i="27"/>
  <c r="C209" i="27"/>
  <c r="D209" i="27"/>
  <c r="E209" i="27"/>
  <c r="F209" i="27"/>
  <c r="G209" i="27"/>
  <c r="B209" i="27"/>
  <c r="H205" i="27"/>
  <c r="H206" i="27"/>
  <c r="H207" i="27"/>
  <c r="H208" i="27"/>
  <c r="H203" i="27"/>
  <c r="R194" i="27"/>
  <c r="Q194" i="27"/>
  <c r="R193" i="27"/>
  <c r="M193" i="27"/>
  <c r="R192" i="27"/>
  <c r="O192" i="27"/>
  <c r="R191" i="27"/>
  <c r="Q191" i="27"/>
  <c r="R190" i="27"/>
  <c r="G190" i="27"/>
  <c r="R189" i="27"/>
  <c r="M189" i="27"/>
  <c r="R188" i="27"/>
  <c r="G188" i="27"/>
  <c r="R187" i="27"/>
  <c r="M187" i="27"/>
  <c r="R186" i="27"/>
  <c r="M186" i="27"/>
  <c r="R185" i="27"/>
  <c r="M185" i="27"/>
  <c r="R184" i="27"/>
  <c r="O184" i="27"/>
  <c r="R183" i="27"/>
  <c r="G183" i="27"/>
  <c r="R182" i="27"/>
  <c r="G182" i="27"/>
  <c r="R181" i="27"/>
  <c r="Q181" i="27"/>
  <c r="R180" i="27"/>
  <c r="G180" i="27"/>
  <c r="R179" i="27"/>
  <c r="O179" i="27"/>
  <c r="R178" i="27"/>
  <c r="O178" i="27"/>
  <c r="R177" i="27"/>
  <c r="M177" i="27"/>
  <c r="R176" i="27"/>
  <c r="O176" i="27"/>
  <c r="R175" i="27"/>
  <c r="G175" i="27"/>
  <c r="R174" i="27"/>
  <c r="I174" i="27"/>
  <c r="R173" i="27"/>
  <c r="K173" i="27"/>
  <c r="R172" i="27"/>
  <c r="M172" i="27"/>
  <c r="R168" i="27"/>
  <c r="M168" i="27"/>
  <c r="R167" i="27"/>
  <c r="O167" i="27"/>
  <c r="R166" i="27"/>
  <c r="Q166" i="27"/>
  <c r="R165" i="27"/>
  <c r="M165" i="27"/>
  <c r="R164" i="27"/>
  <c r="O164" i="27"/>
  <c r="R163" i="27"/>
  <c r="Q163" i="27"/>
  <c r="R162" i="27"/>
  <c r="R161" i="27"/>
  <c r="M161" i="27"/>
  <c r="R160" i="27"/>
  <c r="G160" i="27"/>
  <c r="R159" i="27"/>
  <c r="I159" i="27"/>
  <c r="R158" i="27"/>
  <c r="Q158" i="27"/>
  <c r="R157" i="27"/>
  <c r="M157" i="27"/>
  <c r="R156" i="27"/>
  <c r="O156" i="27"/>
  <c r="R155" i="27"/>
  <c r="G155" i="27"/>
  <c r="R154" i="27"/>
  <c r="I154" i="27"/>
  <c r="R153" i="27"/>
  <c r="M153" i="27"/>
  <c r="R152" i="27"/>
  <c r="M152" i="27"/>
  <c r="R151" i="27"/>
  <c r="O151" i="27"/>
  <c r="R150" i="27"/>
  <c r="Q150" i="27"/>
  <c r="R149" i="27"/>
  <c r="M149" i="27"/>
  <c r="R148" i="27"/>
  <c r="O148" i="27"/>
  <c r="R147" i="27"/>
  <c r="Q147" i="27"/>
  <c r="R146" i="27"/>
  <c r="F118" i="27"/>
  <c r="F119" i="27"/>
  <c r="F120" i="27"/>
  <c r="F121" i="27"/>
  <c r="F122" i="27"/>
  <c r="F123" i="27"/>
  <c r="F124" i="27"/>
  <c r="F125" i="27"/>
  <c r="F126" i="27"/>
  <c r="F127" i="27"/>
  <c r="F128" i="27"/>
  <c r="F129" i="27"/>
  <c r="F130" i="27"/>
  <c r="F131" i="27"/>
  <c r="F132" i="27"/>
  <c r="F103" i="27"/>
  <c r="F104" i="27"/>
  <c r="F105" i="27"/>
  <c r="F106" i="27"/>
  <c r="F107" i="27"/>
  <c r="E75" i="27"/>
  <c r="E76" i="27"/>
  <c r="E77" i="27"/>
  <c r="E78" i="27"/>
  <c r="E79" i="27"/>
  <c r="E80" i="27"/>
  <c r="E81" i="27"/>
  <c r="E82" i="27"/>
  <c r="E83" i="27"/>
  <c r="E84" i="27"/>
  <c r="E85" i="27"/>
  <c r="E86" i="27"/>
  <c r="E87" i="27"/>
  <c r="E51" i="27"/>
  <c r="E52" i="27"/>
  <c r="E53" i="27"/>
  <c r="E54" i="27"/>
  <c r="E55" i="27"/>
  <c r="E57" i="27"/>
  <c r="E58" i="27"/>
  <c r="E59" i="27"/>
  <c r="E60" i="27"/>
  <c r="E61" i="27"/>
  <c r="E62" i="27"/>
  <c r="E63" i="27"/>
  <c r="E64" i="27"/>
  <c r="E65" i="27"/>
  <c r="E66" i="27"/>
  <c r="E67" i="27"/>
  <c r="F135" i="27"/>
  <c r="F134" i="27"/>
  <c r="F133" i="27"/>
  <c r="F117" i="27"/>
  <c r="F116" i="27"/>
  <c r="F109" i="27"/>
  <c r="F108" i="27"/>
  <c r="F102" i="27"/>
  <c r="F101" i="27"/>
  <c r="F100" i="27"/>
  <c r="F99" i="27"/>
  <c r="E92" i="27"/>
  <c r="E91" i="27"/>
  <c r="E90" i="27"/>
  <c r="E89" i="27"/>
  <c r="E88" i="27"/>
  <c r="E74" i="27"/>
  <c r="E73" i="27"/>
  <c r="E50" i="27"/>
  <c r="E49" i="27"/>
  <c r="F39" i="27"/>
  <c r="J38" i="27"/>
  <c r="K38" i="27" s="1"/>
  <c r="J37" i="27"/>
  <c r="K37" i="27" s="1"/>
  <c r="J36" i="27"/>
  <c r="K36" i="27" s="1"/>
  <c r="J35" i="27"/>
  <c r="K35" i="27" s="1"/>
  <c r="J34" i="27"/>
  <c r="J33" i="27"/>
  <c r="J32" i="27"/>
  <c r="J31" i="27"/>
  <c r="J30" i="27"/>
  <c r="J29" i="27"/>
  <c r="J28" i="27"/>
  <c r="J27" i="27"/>
  <c r="J26" i="27"/>
  <c r="J25" i="27"/>
  <c r="J24" i="27"/>
  <c r="J23" i="27"/>
  <c r="J22" i="27"/>
  <c r="J21" i="27"/>
  <c r="J20" i="27"/>
  <c r="J19" i="27"/>
  <c r="J18" i="27"/>
  <c r="J17" i="27"/>
  <c r="J16" i="27"/>
  <c r="I15" i="27"/>
  <c r="H15" i="27"/>
  <c r="G15" i="27"/>
  <c r="I14" i="27"/>
  <c r="H14" i="27"/>
  <c r="G14" i="27"/>
  <c r="I13" i="27"/>
  <c r="H13" i="27"/>
  <c r="I11" i="27"/>
  <c r="H11" i="27"/>
  <c r="G11" i="27"/>
  <c r="H9" i="27"/>
  <c r="J34" i="17"/>
  <c r="J35" i="17"/>
  <c r="K35" i="17"/>
  <c r="J36" i="17"/>
  <c r="K36" i="17" s="1"/>
  <c r="J37" i="17"/>
  <c r="K37" i="17" s="1"/>
  <c r="J38" i="17"/>
  <c r="K38" i="17" s="1"/>
  <c r="G14" i="17"/>
  <c r="G13" i="17"/>
  <c r="I11" i="17"/>
  <c r="I12" i="17"/>
  <c r="I13" i="17"/>
  <c r="I14" i="17"/>
  <c r="I15" i="17"/>
  <c r="G15" i="17"/>
  <c r="H15" i="17"/>
  <c r="H14" i="17"/>
  <c r="H13" i="17"/>
  <c r="G12" i="17"/>
  <c r="G11" i="17"/>
  <c r="H12" i="17"/>
  <c r="H11" i="17"/>
  <c r="H9" i="17"/>
  <c r="Q68" i="19"/>
  <c r="P68" i="19"/>
  <c r="O68" i="19"/>
  <c r="N68" i="19"/>
  <c r="M68" i="19"/>
  <c r="L68" i="19"/>
  <c r="K68" i="19"/>
  <c r="J68" i="19"/>
  <c r="I68" i="19"/>
  <c r="H68" i="19"/>
  <c r="G68" i="19"/>
  <c r="F68" i="19"/>
  <c r="Q34" i="19"/>
  <c r="P34" i="19"/>
  <c r="O34" i="19"/>
  <c r="N34" i="19"/>
  <c r="M34" i="19"/>
  <c r="L34" i="19"/>
  <c r="K34" i="19"/>
  <c r="J34" i="19"/>
  <c r="I34" i="19"/>
  <c r="H34" i="19"/>
  <c r="G34" i="19"/>
  <c r="F34" i="19"/>
  <c r="F39" i="17"/>
  <c r="E27" i="16"/>
  <c r="C62" i="5"/>
  <c r="D62" i="5"/>
  <c r="E62" i="5"/>
  <c r="F62" i="5"/>
  <c r="G62" i="5"/>
  <c r="H62" i="5"/>
  <c r="C63" i="5"/>
  <c r="D63" i="5"/>
  <c r="E63" i="5"/>
  <c r="F63" i="5"/>
  <c r="G63" i="5"/>
  <c r="H63" i="5"/>
  <c r="C64" i="5"/>
  <c r="D64" i="5"/>
  <c r="E64" i="5"/>
  <c r="F64" i="5"/>
  <c r="G64" i="5"/>
  <c r="H64" i="5"/>
  <c r="D55" i="5"/>
  <c r="E55" i="5"/>
  <c r="F55" i="5"/>
  <c r="G55" i="5"/>
  <c r="H55" i="5"/>
  <c r="D56" i="5"/>
  <c r="E56" i="5"/>
  <c r="F56" i="5"/>
  <c r="G56" i="5"/>
  <c r="H56" i="5"/>
  <c r="D57" i="5"/>
  <c r="E57" i="5"/>
  <c r="F57" i="5"/>
  <c r="G57" i="5"/>
  <c r="H57" i="5"/>
  <c r="C58" i="5"/>
  <c r="D58" i="5"/>
  <c r="E58" i="5"/>
  <c r="F58" i="5"/>
  <c r="G58" i="5"/>
  <c r="H58" i="5"/>
  <c r="C59" i="5"/>
  <c r="D59" i="5"/>
  <c r="E59" i="5"/>
  <c r="F59" i="5"/>
  <c r="G59" i="5"/>
  <c r="H59" i="5"/>
  <c r="H54" i="5"/>
  <c r="G54" i="5"/>
  <c r="F54" i="5"/>
  <c r="E54" i="5"/>
  <c r="D54" i="5"/>
  <c r="D48" i="5"/>
  <c r="E48" i="5"/>
  <c r="F48" i="5"/>
  <c r="G48" i="5"/>
  <c r="H48" i="5"/>
  <c r="D49" i="5"/>
  <c r="E49" i="5"/>
  <c r="F49" i="5"/>
  <c r="G49" i="5"/>
  <c r="H49" i="5"/>
  <c r="D50" i="5"/>
  <c r="E50" i="5"/>
  <c r="F50" i="5"/>
  <c r="G50" i="5"/>
  <c r="H50" i="5"/>
  <c r="D51" i="5"/>
  <c r="E51" i="5"/>
  <c r="F51" i="5"/>
  <c r="G51" i="5"/>
  <c r="H51" i="5"/>
  <c r="D52" i="5"/>
  <c r="E52" i="5"/>
  <c r="F52" i="5"/>
  <c r="G52" i="5"/>
  <c r="H52" i="5"/>
  <c r="G47" i="5"/>
  <c r="F47" i="5"/>
  <c r="D47" i="5"/>
  <c r="C50" i="5"/>
  <c r="C51" i="5"/>
  <c r="C52" i="5"/>
  <c r="C47" i="5"/>
  <c r="E295" i="29" l="1"/>
  <c r="C339" i="29" s="1"/>
  <c r="B323" i="29"/>
  <c r="C323" i="29"/>
  <c r="F257" i="27"/>
  <c r="B309" i="27"/>
  <c r="H255" i="27"/>
  <c r="B299" i="27"/>
  <c r="H282" i="27"/>
  <c r="C287" i="27"/>
  <c r="H285" i="27"/>
  <c r="H286" i="27"/>
  <c r="H269" i="27"/>
  <c r="E261" i="27" s="1"/>
  <c r="H281" i="27"/>
  <c r="D287" i="27"/>
  <c r="H284" i="27"/>
  <c r="E287" i="27"/>
  <c r="H278" i="27"/>
  <c r="E270" i="27" s="1"/>
  <c r="F287" i="27"/>
  <c r="H283" i="27"/>
  <c r="G287" i="27"/>
  <c r="B287" i="27"/>
  <c r="G257" i="27"/>
  <c r="H253" i="27"/>
  <c r="H248" i="27"/>
  <c r="E240" i="27" s="1"/>
  <c r="H239" i="27"/>
  <c r="E231" i="27" s="1"/>
  <c r="H256" i="27"/>
  <c r="H254" i="27"/>
  <c r="H252" i="27"/>
  <c r="H251" i="27"/>
  <c r="C257" i="27"/>
  <c r="D257" i="27"/>
  <c r="E257" i="27"/>
  <c r="B257" i="27"/>
  <c r="H226" i="27"/>
  <c r="H222" i="27"/>
  <c r="E227" i="27"/>
  <c r="B227" i="27"/>
  <c r="H225" i="27"/>
  <c r="H218" i="27"/>
  <c r="E210" i="27" s="1"/>
  <c r="H221" i="27"/>
  <c r="D227" i="27"/>
  <c r="F227" i="27"/>
  <c r="H224" i="27"/>
  <c r="C227" i="27"/>
  <c r="H223" i="27"/>
  <c r="G227" i="27"/>
  <c r="H204" i="27"/>
  <c r="H209" i="27" s="1"/>
  <c r="E201" i="27" s="1"/>
  <c r="K167" i="27"/>
  <c r="Q184" i="27"/>
  <c r="I172" i="27"/>
  <c r="Q172" i="27"/>
  <c r="S168" i="27"/>
  <c r="I193" i="27"/>
  <c r="Q193" i="27"/>
  <c r="K147" i="27"/>
  <c r="K176" i="27"/>
  <c r="S173" i="27"/>
  <c r="S192" i="27"/>
  <c r="G161" i="27"/>
  <c r="M173" i="27"/>
  <c r="I164" i="27"/>
  <c r="I173" i="27"/>
  <c r="S175" i="27"/>
  <c r="O173" i="27"/>
  <c r="Q173" i="27"/>
  <c r="I180" i="27"/>
  <c r="Q153" i="27"/>
  <c r="K172" i="27"/>
  <c r="S184" i="27"/>
  <c r="G153" i="27"/>
  <c r="K161" i="27"/>
  <c r="Q164" i="27"/>
  <c r="S172" i="27"/>
  <c r="I177" i="27"/>
  <c r="K179" i="27"/>
  <c r="G185" i="27"/>
  <c r="S191" i="27"/>
  <c r="I153" i="27"/>
  <c r="S164" i="27"/>
  <c r="K177" i="27"/>
  <c r="S179" i="27"/>
  <c r="K185" i="27"/>
  <c r="K188" i="27"/>
  <c r="K153" i="27"/>
  <c r="K159" i="27"/>
  <c r="K168" i="27"/>
  <c r="G173" i="27"/>
  <c r="O177" i="27"/>
  <c r="K183" i="27"/>
  <c r="O185" i="27"/>
  <c r="K192" i="27"/>
  <c r="O153" i="27"/>
  <c r="I156" i="27"/>
  <c r="Q177" i="27"/>
  <c r="S185" i="27"/>
  <c r="G181" i="27"/>
  <c r="Q188" i="27"/>
  <c r="Q189" i="27"/>
  <c r="K193" i="27"/>
  <c r="O189" i="27"/>
  <c r="I176" i="27"/>
  <c r="I181" i="27"/>
  <c r="S188" i="27"/>
  <c r="S189" i="27"/>
  <c r="I192" i="27"/>
  <c r="O193" i="27"/>
  <c r="K181" i="27"/>
  <c r="Q176" i="27"/>
  <c r="S177" i="27"/>
  <c r="K180" i="27"/>
  <c r="M181" i="27"/>
  <c r="S183" i="27"/>
  <c r="I185" i="27"/>
  <c r="K187" i="27"/>
  <c r="G189" i="27"/>
  <c r="M190" i="27"/>
  <c r="Q192" i="27"/>
  <c r="S193" i="27"/>
  <c r="S176" i="27"/>
  <c r="M180" i="27"/>
  <c r="O181" i="27"/>
  <c r="S187" i="27"/>
  <c r="I189" i="27"/>
  <c r="Q180" i="27"/>
  <c r="I184" i="27"/>
  <c r="K189" i="27"/>
  <c r="K175" i="27"/>
  <c r="G177" i="27"/>
  <c r="S180" i="27"/>
  <c r="S181" i="27"/>
  <c r="K184" i="27"/>
  <c r="Q185" i="27"/>
  <c r="I188" i="27"/>
  <c r="K191" i="27"/>
  <c r="G193" i="27"/>
  <c r="I157" i="27"/>
  <c r="S151" i="27"/>
  <c r="O157" i="27"/>
  <c r="S163" i="27"/>
  <c r="S153" i="27"/>
  <c r="K156" i="27"/>
  <c r="Q157" i="27"/>
  <c r="I160" i="27"/>
  <c r="O161" i="27"/>
  <c r="K165" i="27"/>
  <c r="S167" i="27"/>
  <c r="I165" i="27"/>
  <c r="Q156" i="27"/>
  <c r="S157" i="27"/>
  <c r="K160" i="27"/>
  <c r="Q161" i="27"/>
  <c r="O165" i="27"/>
  <c r="S156" i="27"/>
  <c r="Q160" i="27"/>
  <c r="S161" i="27"/>
  <c r="K164" i="27"/>
  <c r="Q165" i="27"/>
  <c r="I168" i="27"/>
  <c r="S160" i="27"/>
  <c r="S165" i="27"/>
  <c r="K155" i="27"/>
  <c r="G157" i="27"/>
  <c r="Q168" i="27"/>
  <c r="S155" i="27"/>
  <c r="S147" i="27"/>
  <c r="K151" i="27"/>
  <c r="K157" i="27"/>
  <c r="S159" i="27"/>
  <c r="I161" i="27"/>
  <c r="K163" i="27"/>
  <c r="G165" i="27"/>
  <c r="S146" i="27"/>
  <c r="S162" i="27"/>
  <c r="K152" i="27"/>
  <c r="S152" i="27"/>
  <c r="Q152" i="27"/>
  <c r="I152" i="27"/>
  <c r="S149" i="27"/>
  <c r="G149" i="27"/>
  <c r="I149" i="27"/>
  <c r="Q149" i="27"/>
  <c r="K149" i="27"/>
  <c r="O149" i="27"/>
  <c r="K148" i="27"/>
  <c r="Q148" i="27"/>
  <c r="S148" i="27"/>
  <c r="I148" i="27"/>
  <c r="M178" i="27"/>
  <c r="G146" i="27"/>
  <c r="O158" i="27"/>
  <c r="M159" i="27"/>
  <c r="G162" i="27"/>
  <c r="O166" i="27"/>
  <c r="O186" i="27"/>
  <c r="O194" i="27"/>
  <c r="I146" i="27"/>
  <c r="G147" i="27"/>
  <c r="O159" i="27"/>
  <c r="M160" i="27"/>
  <c r="I162" i="27"/>
  <c r="G163" i="27"/>
  <c r="Q178" i="27"/>
  <c r="I182" i="27"/>
  <c r="Q186" i="27"/>
  <c r="O187" i="27"/>
  <c r="M188" i="27"/>
  <c r="I190" i="27"/>
  <c r="G191" i="27"/>
  <c r="K146" i="27"/>
  <c r="I147" i="27"/>
  <c r="G148" i="27"/>
  <c r="Q151" i="27"/>
  <c r="O152" i="27"/>
  <c r="K154" i="27"/>
  <c r="I155" i="27"/>
  <c r="G156" i="27"/>
  <c r="Q159" i="27"/>
  <c r="O160" i="27"/>
  <c r="K162" i="27"/>
  <c r="I163" i="27"/>
  <c r="G164" i="27"/>
  <c r="Q167" i="27"/>
  <c r="O168" i="27"/>
  <c r="O172" i="27"/>
  <c r="K174" i="27"/>
  <c r="I175" i="27"/>
  <c r="G176" i="27"/>
  <c r="Q179" i="27"/>
  <c r="O180" i="27"/>
  <c r="K182" i="27"/>
  <c r="I183" i="27"/>
  <c r="G184" i="27"/>
  <c r="Q187" i="27"/>
  <c r="O188" i="27"/>
  <c r="K190" i="27"/>
  <c r="I191" i="27"/>
  <c r="G192" i="27"/>
  <c r="M154" i="27"/>
  <c r="S158" i="27"/>
  <c r="M162" i="27"/>
  <c r="S186" i="27"/>
  <c r="S194" i="27"/>
  <c r="M183" i="27"/>
  <c r="G186" i="27"/>
  <c r="M146" i="27"/>
  <c r="S150" i="27"/>
  <c r="M174" i="27"/>
  <c r="M182" i="27"/>
  <c r="O146" i="27"/>
  <c r="M147" i="27"/>
  <c r="G150" i="27"/>
  <c r="O162" i="27"/>
  <c r="M163" i="27"/>
  <c r="G166" i="27"/>
  <c r="M175" i="27"/>
  <c r="Q154" i="27"/>
  <c r="O155" i="27"/>
  <c r="M156" i="27"/>
  <c r="I158" i="27"/>
  <c r="G159" i="27"/>
  <c r="M176" i="27"/>
  <c r="G179" i="27"/>
  <c r="Q190" i="27"/>
  <c r="O191" i="27"/>
  <c r="M192" i="27"/>
  <c r="I194" i="27"/>
  <c r="S166" i="27"/>
  <c r="S178" i="27"/>
  <c r="O154" i="27"/>
  <c r="M155" i="27"/>
  <c r="G158" i="27"/>
  <c r="O174" i="27"/>
  <c r="G178" i="27"/>
  <c r="O182" i="27"/>
  <c r="O190" i="27"/>
  <c r="M191" i="27"/>
  <c r="G194" i="27"/>
  <c r="Q146" i="27"/>
  <c r="O147" i="27"/>
  <c r="M148" i="27"/>
  <c r="I150" i="27"/>
  <c r="G151" i="27"/>
  <c r="Q162" i="27"/>
  <c r="O163" i="27"/>
  <c r="M164" i="27"/>
  <c r="I166" i="27"/>
  <c r="G167" i="27"/>
  <c r="Q174" i="27"/>
  <c r="O175" i="27"/>
  <c r="I178" i="27"/>
  <c r="Q182" i="27"/>
  <c r="O183" i="27"/>
  <c r="M184" i="27"/>
  <c r="I186" i="27"/>
  <c r="G187" i="27"/>
  <c r="K150" i="27"/>
  <c r="I151" i="27"/>
  <c r="G152" i="27"/>
  <c r="Q155" i="27"/>
  <c r="K158" i="27"/>
  <c r="K166" i="27"/>
  <c r="I167" i="27"/>
  <c r="G168" i="27"/>
  <c r="G172" i="27"/>
  <c r="Q175" i="27"/>
  <c r="K178" i="27"/>
  <c r="I179" i="27"/>
  <c r="Q183" i="27"/>
  <c r="K186" i="27"/>
  <c r="I187" i="27"/>
  <c r="K194" i="27"/>
  <c r="M150" i="27"/>
  <c r="S182" i="27"/>
  <c r="S190" i="27"/>
  <c r="M194" i="27"/>
  <c r="S174" i="27"/>
  <c r="M167" i="27"/>
  <c r="G174" i="27"/>
  <c r="M179" i="27"/>
  <c r="S154" i="27"/>
  <c r="M158" i="27"/>
  <c r="M166" i="27"/>
  <c r="O150" i="27"/>
  <c r="M151" i="27"/>
  <c r="G154" i="27"/>
  <c r="F110" i="27"/>
  <c r="E95" i="27" s="1"/>
  <c r="E93" i="27"/>
  <c r="E70" i="27" s="1"/>
  <c r="B357" i="27" s="1"/>
  <c r="D357" i="27" s="1"/>
  <c r="K20" i="27"/>
  <c r="K25" i="27"/>
  <c r="K17" i="27"/>
  <c r="E68" i="27"/>
  <c r="E46" i="27" s="1"/>
  <c r="B356" i="27" s="1"/>
  <c r="K26" i="27"/>
  <c r="F136" i="27"/>
  <c r="E112" i="27" s="1"/>
  <c r="K34" i="27"/>
  <c r="K16" i="27"/>
  <c r="J15" i="27"/>
  <c r="K15" i="27" s="1"/>
  <c r="K18" i="27"/>
  <c r="K24" i="27"/>
  <c r="K28" i="27"/>
  <c r="J13" i="27"/>
  <c r="K13" i="27" s="1"/>
  <c r="K29" i="27"/>
  <c r="K23" i="27"/>
  <c r="K31" i="27"/>
  <c r="K33" i="27"/>
  <c r="G40" i="27"/>
  <c r="K32" i="27"/>
  <c r="J14" i="27"/>
  <c r="K14" i="27" s="1"/>
  <c r="K22" i="27"/>
  <c r="K19" i="27"/>
  <c r="K21" i="27"/>
  <c r="J11" i="27"/>
  <c r="G39" i="27"/>
  <c r="K30" i="27"/>
  <c r="H39" i="27"/>
  <c r="K27" i="27"/>
  <c r="F40" i="27"/>
  <c r="I39" i="27"/>
  <c r="J12" i="27"/>
  <c r="K12" i="27" s="1"/>
  <c r="H40" i="27"/>
  <c r="I40" i="27"/>
  <c r="I39" i="17"/>
  <c r="H39" i="17"/>
  <c r="G39" i="17"/>
  <c r="B24" i="24"/>
  <c r="F3" i="24"/>
  <c r="U49" i="19"/>
  <c r="U50" i="19"/>
  <c r="V50" i="19"/>
  <c r="W50" i="19"/>
  <c r="U51" i="19"/>
  <c r="V51" i="19"/>
  <c r="W51" i="19"/>
  <c r="U52" i="19"/>
  <c r="W52" i="19"/>
  <c r="X52" i="19"/>
  <c r="U53" i="19"/>
  <c r="V53" i="19"/>
  <c r="W53" i="19"/>
  <c r="U54" i="19"/>
  <c r="V54" i="19"/>
  <c r="W54" i="19"/>
  <c r="U55" i="19"/>
  <c r="V55" i="19"/>
  <c r="W55" i="19"/>
  <c r="U56" i="19"/>
  <c r="V56" i="19"/>
  <c r="W56" i="19"/>
  <c r="U57" i="19"/>
  <c r="V57" i="19"/>
  <c r="W57" i="19"/>
  <c r="U58" i="19"/>
  <c r="X58" i="19"/>
  <c r="U59" i="19"/>
  <c r="W59" i="19"/>
  <c r="X59" i="19"/>
  <c r="U60" i="19"/>
  <c r="W60" i="19"/>
  <c r="X60" i="19"/>
  <c r="U61" i="19"/>
  <c r="W61" i="19"/>
  <c r="X61" i="19"/>
  <c r="W62" i="19"/>
  <c r="X62" i="19"/>
  <c r="U63" i="19"/>
  <c r="W63" i="19"/>
  <c r="X63" i="19"/>
  <c r="U64" i="19"/>
  <c r="W64" i="19"/>
  <c r="X64" i="19"/>
  <c r="U65" i="19"/>
  <c r="W65" i="19"/>
  <c r="X65" i="19"/>
  <c r="U66" i="19"/>
  <c r="V66" i="19"/>
  <c r="X66" i="19"/>
  <c r="U67" i="19"/>
  <c r="W67" i="19"/>
  <c r="X67" i="19"/>
  <c r="O32" i="17"/>
  <c r="J32" i="17"/>
  <c r="E32" i="17"/>
  <c r="R66" i="19"/>
  <c r="P12" i="17"/>
  <c r="P17" i="17"/>
  <c r="P25" i="17"/>
  <c r="P26" i="17"/>
  <c r="P27" i="17"/>
  <c r="P28" i="17"/>
  <c r="P29" i="17"/>
  <c r="P38" i="17"/>
  <c r="O12" i="17"/>
  <c r="O15" i="17"/>
  <c r="O19" i="17"/>
  <c r="O20" i="17"/>
  <c r="O21" i="17"/>
  <c r="O22" i="17"/>
  <c r="O24" i="17"/>
  <c r="O25" i="17"/>
  <c r="O26" i="17"/>
  <c r="O27" i="17"/>
  <c r="O28" i="17"/>
  <c r="O29" i="17"/>
  <c r="O31" i="17"/>
  <c r="O38" i="17"/>
  <c r="N23" i="17"/>
  <c r="N24" i="17"/>
  <c r="N30" i="17"/>
  <c r="N31" i="17"/>
  <c r="M16" i="17"/>
  <c r="M17" i="17"/>
  <c r="M18" i="17"/>
  <c r="M19" i="17"/>
  <c r="M20" i="17"/>
  <c r="M21" i="17"/>
  <c r="M22" i="17"/>
  <c r="M23" i="17"/>
  <c r="M25" i="17"/>
  <c r="M26" i="17"/>
  <c r="M27" i="17"/>
  <c r="M28" i="17"/>
  <c r="M29" i="17"/>
  <c r="M33" i="17"/>
  <c r="M38" i="17"/>
  <c r="B23" i="24"/>
  <c r="B22" i="24"/>
  <c r="H21" i="24"/>
  <c r="H5" i="24" s="1"/>
  <c r="G21" i="24"/>
  <c r="G5" i="24" s="1"/>
  <c r="F21" i="24"/>
  <c r="F5" i="24" s="1"/>
  <c r="E21" i="24"/>
  <c r="E5" i="24" s="1"/>
  <c r="D21" i="24"/>
  <c r="D5" i="24" s="1"/>
  <c r="C21" i="24"/>
  <c r="C5" i="24" s="1"/>
  <c r="B14" i="24"/>
  <c r="B13" i="24"/>
  <c r="B12" i="24"/>
  <c r="H11" i="24"/>
  <c r="H3" i="24" s="1"/>
  <c r="G11" i="24"/>
  <c r="G3" i="24" s="1"/>
  <c r="F11" i="24"/>
  <c r="E11" i="24"/>
  <c r="E3" i="24" s="1"/>
  <c r="D11" i="24"/>
  <c r="D3" i="24" s="1"/>
  <c r="C11" i="24"/>
  <c r="C3" i="24" s="1"/>
  <c r="C340" i="29" l="1"/>
  <c r="D339" i="29"/>
  <c r="D340" i="29" s="1"/>
  <c r="B334" i="27"/>
  <c r="B353" i="27"/>
  <c r="B333" i="27"/>
  <c r="B352" i="27"/>
  <c r="C324" i="29"/>
  <c r="B330" i="29"/>
  <c r="B343" i="29" s="1"/>
  <c r="B329" i="29"/>
  <c r="B342" i="29" s="1"/>
  <c r="H287" i="27"/>
  <c r="E260" i="27" s="1"/>
  <c r="C356" i="27" s="1"/>
  <c r="D356" i="27" s="1"/>
  <c r="H257" i="27"/>
  <c r="E230" i="27" s="1"/>
  <c r="H227" i="27"/>
  <c r="S195" i="27"/>
  <c r="E171" i="27" s="1"/>
  <c r="G195" i="27"/>
  <c r="Q195" i="27"/>
  <c r="M195" i="27"/>
  <c r="K195" i="27"/>
  <c r="I195" i="27"/>
  <c r="S169" i="27"/>
  <c r="E145" i="27" s="1"/>
  <c r="O195" i="27"/>
  <c r="Q169" i="27"/>
  <c r="M169" i="27"/>
  <c r="G169" i="27"/>
  <c r="I169" i="27"/>
  <c r="O169" i="27"/>
  <c r="K169" i="27"/>
  <c r="J39" i="27"/>
  <c r="K11" i="27"/>
  <c r="K32" i="17"/>
  <c r="N32" i="17" s="1"/>
  <c r="P32" i="17"/>
  <c r="W66" i="19"/>
  <c r="B11" i="24"/>
  <c r="B3" i="24" s="1"/>
  <c r="B21" i="24"/>
  <c r="B5" i="24" s="1"/>
  <c r="B18" i="24"/>
  <c r="B19" i="24"/>
  <c r="C333" i="27" l="1"/>
  <c r="D333" i="27" s="1"/>
  <c r="C352" i="27"/>
  <c r="D324" i="29"/>
  <c r="K41" i="27"/>
  <c r="E4" i="27" s="1"/>
  <c r="E279" i="27"/>
  <c r="E249" i="27"/>
  <c r="E200" i="27"/>
  <c r="E219" i="27"/>
  <c r="F198" i="27"/>
  <c r="P198" i="27"/>
  <c r="H198" i="27"/>
  <c r="L198" i="27"/>
  <c r="J198" i="27"/>
  <c r="R198" i="27"/>
  <c r="N198" i="27"/>
  <c r="M32" i="17"/>
  <c r="J108" i="21"/>
  <c r="E47" i="5" s="1"/>
  <c r="B355" i="27" l="1"/>
  <c r="B354" i="27" s="1"/>
  <c r="E197" i="27"/>
  <c r="E142" i="27" s="1"/>
  <c r="E140" i="27" s="1"/>
  <c r="D352" i="27"/>
  <c r="C334" i="27"/>
  <c r="C353" i="27"/>
  <c r="B331" i="29"/>
  <c r="B344" i="29" s="1"/>
  <c r="E324" i="29"/>
  <c r="F324" i="29" s="1"/>
  <c r="G324" i="29" s="1"/>
  <c r="H324" i="29" s="1"/>
  <c r="F319" i="27"/>
  <c r="F321" i="27" s="1"/>
  <c r="E292" i="27"/>
  <c r="F305" i="27" s="1"/>
  <c r="F304" i="27" s="1"/>
  <c r="F314" i="27" s="1"/>
  <c r="F322" i="27" s="1"/>
  <c r="E319" i="27"/>
  <c r="E321" i="27" s="1"/>
  <c r="D292" i="27"/>
  <c r="E305" i="27" s="1"/>
  <c r="E304" i="27" s="1"/>
  <c r="E314" i="27" s="1"/>
  <c r="E322" i="27" s="1"/>
  <c r="D319" i="27"/>
  <c r="D321" i="27" s="1"/>
  <c r="C292" i="27"/>
  <c r="D305" i="27" s="1"/>
  <c r="D304" i="27" s="1"/>
  <c r="D314" i="27" s="1"/>
  <c r="D322" i="27" s="1"/>
  <c r="H319" i="27"/>
  <c r="H321" i="27" s="1"/>
  <c r="G292" i="27"/>
  <c r="H305" i="27" s="1"/>
  <c r="H304" i="27" s="1"/>
  <c r="H314" i="27" s="1"/>
  <c r="H322" i="27" s="1"/>
  <c r="C319" i="27"/>
  <c r="B292" i="27"/>
  <c r="G319" i="27"/>
  <c r="G321" i="27" s="1"/>
  <c r="F292" i="27"/>
  <c r="G305" i="27" s="1"/>
  <c r="G304" i="27" s="1"/>
  <c r="G314" i="27" s="1"/>
  <c r="G322" i="27" s="1"/>
  <c r="B335" i="27"/>
  <c r="C318" i="27"/>
  <c r="H123" i="21"/>
  <c r="J123" i="21"/>
  <c r="L123" i="21"/>
  <c r="N123" i="21"/>
  <c r="P123" i="21"/>
  <c r="H124" i="21"/>
  <c r="J124" i="21"/>
  <c r="L124" i="21"/>
  <c r="N124" i="21"/>
  <c r="P124" i="21"/>
  <c r="H125" i="21"/>
  <c r="J125" i="21"/>
  <c r="L125" i="21"/>
  <c r="N125" i="21"/>
  <c r="P125" i="21"/>
  <c r="F124" i="21"/>
  <c r="F125" i="21"/>
  <c r="F123" i="21"/>
  <c r="F116" i="21"/>
  <c r="C55" i="5" s="1"/>
  <c r="F117" i="21"/>
  <c r="C56" i="5" s="1"/>
  <c r="H117" i="21"/>
  <c r="J117" i="21"/>
  <c r="L117" i="21"/>
  <c r="N117" i="21"/>
  <c r="P117" i="21"/>
  <c r="F118" i="21"/>
  <c r="C57" i="5" s="1"/>
  <c r="H118" i="21"/>
  <c r="J118" i="21"/>
  <c r="L118" i="21"/>
  <c r="N118" i="21"/>
  <c r="P118" i="21"/>
  <c r="F119" i="21"/>
  <c r="H119" i="21"/>
  <c r="J119" i="21"/>
  <c r="L119" i="21"/>
  <c r="N119" i="21"/>
  <c r="P119" i="21"/>
  <c r="F120" i="21"/>
  <c r="B59" i="5" s="1"/>
  <c r="H120" i="21"/>
  <c r="J120" i="21"/>
  <c r="L120" i="21"/>
  <c r="N120" i="21"/>
  <c r="R120" i="21" s="1"/>
  <c r="P120" i="21"/>
  <c r="H115" i="21"/>
  <c r="J115" i="21"/>
  <c r="L115" i="21"/>
  <c r="N115" i="21"/>
  <c r="P115" i="21"/>
  <c r="F115" i="21"/>
  <c r="C54" i="5" s="1"/>
  <c r="F109" i="21"/>
  <c r="C48" i="5" s="1"/>
  <c r="L109" i="21"/>
  <c r="F110" i="21"/>
  <c r="C49" i="5" s="1"/>
  <c r="H110" i="21"/>
  <c r="J110" i="21"/>
  <c r="L110" i="21"/>
  <c r="N110" i="21"/>
  <c r="P110" i="21"/>
  <c r="F111" i="21"/>
  <c r="H111" i="21"/>
  <c r="J111" i="21"/>
  <c r="L111" i="21"/>
  <c r="N111" i="21"/>
  <c r="P111" i="21"/>
  <c r="F112" i="21"/>
  <c r="H112" i="21"/>
  <c r="J112" i="21"/>
  <c r="L112" i="21"/>
  <c r="N112" i="21"/>
  <c r="P112" i="21"/>
  <c r="F113" i="21"/>
  <c r="H113" i="21"/>
  <c r="J113" i="21"/>
  <c r="L113" i="21"/>
  <c r="N113" i="21"/>
  <c r="P113" i="21"/>
  <c r="H108" i="21"/>
  <c r="L108" i="21"/>
  <c r="N108" i="21"/>
  <c r="P108" i="21"/>
  <c r="H47" i="5" s="1"/>
  <c r="F108" i="21"/>
  <c r="R103" i="21"/>
  <c r="R102" i="21"/>
  <c r="R101" i="21"/>
  <c r="R98" i="21"/>
  <c r="R97" i="21"/>
  <c r="R96" i="21"/>
  <c r="R95" i="21"/>
  <c r="P94" i="21"/>
  <c r="N94" i="21"/>
  <c r="L94" i="21"/>
  <c r="J94" i="21"/>
  <c r="H94" i="21"/>
  <c r="R93" i="21"/>
  <c r="R91" i="21"/>
  <c r="R90" i="21"/>
  <c r="R89" i="21"/>
  <c r="R88" i="21"/>
  <c r="P87" i="21"/>
  <c r="N87" i="21"/>
  <c r="M87" i="21"/>
  <c r="H87" i="21"/>
  <c r="R86" i="21"/>
  <c r="R79" i="21"/>
  <c r="R80" i="21"/>
  <c r="R81" i="21"/>
  <c r="R66" i="21"/>
  <c r="R67" i="21"/>
  <c r="R68" i="21"/>
  <c r="R69" i="21"/>
  <c r="R64" i="21"/>
  <c r="R71" i="21"/>
  <c r="R74" i="21"/>
  <c r="R75" i="21"/>
  <c r="R76" i="21"/>
  <c r="R73" i="21"/>
  <c r="F35" i="23"/>
  <c r="C26" i="5" s="1"/>
  <c r="E32" i="21"/>
  <c r="E33" i="21"/>
  <c r="E34" i="21"/>
  <c r="E35" i="21"/>
  <c r="E36" i="21"/>
  <c r="E37" i="21"/>
  <c r="E38" i="21"/>
  <c r="E39" i="21"/>
  <c r="E40" i="21"/>
  <c r="E41" i="21"/>
  <c r="E42" i="21"/>
  <c r="E43" i="21"/>
  <c r="E44" i="21"/>
  <c r="E45" i="21"/>
  <c r="E46" i="21"/>
  <c r="E47" i="21"/>
  <c r="E48" i="21"/>
  <c r="E49" i="21"/>
  <c r="E50" i="21"/>
  <c r="E51" i="21"/>
  <c r="E52" i="21"/>
  <c r="E53" i="21"/>
  <c r="E31" i="21"/>
  <c r="E6" i="21"/>
  <c r="E7" i="21"/>
  <c r="E8" i="21"/>
  <c r="E9" i="21"/>
  <c r="E10" i="21"/>
  <c r="E11" i="21"/>
  <c r="E12" i="21"/>
  <c r="E13" i="21"/>
  <c r="E14" i="21"/>
  <c r="E15" i="21"/>
  <c r="E16" i="21"/>
  <c r="E17" i="21"/>
  <c r="E18" i="21"/>
  <c r="E19" i="21"/>
  <c r="E20" i="21"/>
  <c r="E21" i="21"/>
  <c r="E22" i="21"/>
  <c r="E23" i="21"/>
  <c r="E24" i="21"/>
  <c r="E25" i="21"/>
  <c r="E26" i="21"/>
  <c r="E27" i="21"/>
  <c r="E5" i="21"/>
  <c r="E11" i="19"/>
  <c r="E12" i="19"/>
  <c r="E13" i="19"/>
  <c r="E14" i="19"/>
  <c r="E15" i="19"/>
  <c r="E16" i="19"/>
  <c r="E17" i="19"/>
  <c r="E18" i="19"/>
  <c r="E19" i="19"/>
  <c r="E20" i="19"/>
  <c r="E21" i="19"/>
  <c r="E22" i="19"/>
  <c r="E23" i="19"/>
  <c r="E24" i="19"/>
  <c r="E25" i="19"/>
  <c r="E26" i="19"/>
  <c r="E27" i="19"/>
  <c r="E28" i="19"/>
  <c r="E29" i="19"/>
  <c r="E10" i="19"/>
  <c r="E45" i="19"/>
  <c r="E46" i="19"/>
  <c r="E47" i="19"/>
  <c r="E48" i="19"/>
  <c r="E49" i="19"/>
  <c r="E50" i="19"/>
  <c r="E51" i="19"/>
  <c r="S51" i="19" s="1"/>
  <c r="E52" i="19"/>
  <c r="S52" i="19" s="1"/>
  <c r="E53" i="19"/>
  <c r="S53" i="19" s="1"/>
  <c r="E54" i="19"/>
  <c r="S54" i="19" s="1"/>
  <c r="E55" i="19"/>
  <c r="S55" i="19" s="1"/>
  <c r="E56" i="19"/>
  <c r="S56" i="19" s="1"/>
  <c r="E57" i="19"/>
  <c r="S57" i="19" s="1"/>
  <c r="E58" i="19"/>
  <c r="S58" i="19" s="1"/>
  <c r="E59" i="19"/>
  <c r="S59" i="19" s="1"/>
  <c r="E60" i="19"/>
  <c r="S60" i="19" s="1"/>
  <c r="E61" i="19"/>
  <c r="S61" i="19" s="1"/>
  <c r="E62" i="19"/>
  <c r="S62" i="19" s="1"/>
  <c r="E63" i="19"/>
  <c r="S63" i="19" s="1"/>
  <c r="E44" i="19"/>
  <c r="E11" i="17"/>
  <c r="E12" i="17"/>
  <c r="E13" i="17"/>
  <c r="E14" i="17"/>
  <c r="E15" i="17"/>
  <c r="E17" i="17"/>
  <c r="E18" i="17"/>
  <c r="E19" i="17"/>
  <c r="E20" i="17"/>
  <c r="E21" i="17"/>
  <c r="E22" i="17"/>
  <c r="E23" i="17"/>
  <c r="E24" i="17"/>
  <c r="E25" i="17"/>
  <c r="E26" i="17"/>
  <c r="E27" i="17"/>
  <c r="E28" i="17"/>
  <c r="E29" i="17"/>
  <c r="E30" i="17"/>
  <c r="E31" i="17"/>
  <c r="E33" i="17"/>
  <c r="E34" i="17"/>
  <c r="K34" i="17" s="1"/>
  <c r="E16" i="17"/>
  <c r="F47" i="23"/>
  <c r="C37" i="5" s="1"/>
  <c r="F46" i="23"/>
  <c r="C36" i="5" s="1"/>
  <c r="F45" i="23"/>
  <c r="C35" i="5" s="1"/>
  <c r="F44" i="23"/>
  <c r="C34" i="5" s="1"/>
  <c r="F43" i="23"/>
  <c r="C33" i="5" s="1"/>
  <c r="F42" i="23"/>
  <c r="C32" i="5" s="1"/>
  <c r="F36" i="23"/>
  <c r="C27" i="5" s="1"/>
  <c r="F37" i="23"/>
  <c r="C28" i="5" s="1"/>
  <c r="F38" i="23"/>
  <c r="C29" i="5" s="1"/>
  <c r="F39" i="23"/>
  <c r="C30" i="5" s="1"/>
  <c r="F34" i="23"/>
  <c r="C25" i="5" s="1"/>
  <c r="E8" i="23"/>
  <c r="C10" i="5" s="1"/>
  <c r="E7" i="23"/>
  <c r="C9" i="5" s="1"/>
  <c r="E6" i="23"/>
  <c r="C8" i="5" s="1"/>
  <c r="E5" i="23"/>
  <c r="C7" i="5" s="1"/>
  <c r="E27" i="23"/>
  <c r="E26" i="23"/>
  <c r="E25" i="23"/>
  <c r="E24" i="23"/>
  <c r="E23" i="23"/>
  <c r="E22" i="23"/>
  <c r="E21" i="23"/>
  <c r="B2" i="5"/>
  <c r="D323" i="27" l="1"/>
  <c r="C335" i="27"/>
  <c r="D335" i="27" s="1"/>
  <c r="C355" i="27"/>
  <c r="C354" i="27" s="1"/>
  <c r="C359" i="27" s="1"/>
  <c r="C360" i="27" s="1"/>
  <c r="E323" i="27"/>
  <c r="G323" i="27"/>
  <c r="F323" i="27"/>
  <c r="H323" i="27"/>
  <c r="D334" i="27"/>
  <c r="D353" i="27"/>
  <c r="B324" i="29"/>
  <c r="B319" i="27"/>
  <c r="C305" i="27"/>
  <c r="H292" i="27"/>
  <c r="E290" i="27" s="1"/>
  <c r="S50" i="19"/>
  <c r="S44" i="19"/>
  <c r="S46" i="19"/>
  <c r="S47" i="19"/>
  <c r="S45" i="19"/>
  <c r="S48" i="19"/>
  <c r="S49" i="19"/>
  <c r="B318" i="27"/>
  <c r="C321" i="27"/>
  <c r="Q69" i="19"/>
  <c r="I69" i="19"/>
  <c r="P69" i="19"/>
  <c r="H69" i="19"/>
  <c r="M69" i="19"/>
  <c r="K69" i="19"/>
  <c r="O69" i="19"/>
  <c r="G69" i="19"/>
  <c r="J69" i="19"/>
  <c r="N69" i="19"/>
  <c r="F69" i="19"/>
  <c r="L69" i="19"/>
  <c r="I40" i="17"/>
  <c r="H40" i="17"/>
  <c r="G40" i="17"/>
  <c r="F40" i="17"/>
  <c r="P35" i="19"/>
  <c r="L35" i="19"/>
  <c r="H35" i="19"/>
  <c r="G35" i="19"/>
  <c r="O35" i="19"/>
  <c r="K35" i="19"/>
  <c r="M35" i="19"/>
  <c r="N35" i="19"/>
  <c r="J35" i="19"/>
  <c r="F35" i="19"/>
  <c r="I35" i="19"/>
  <c r="Q35" i="19"/>
  <c r="R113" i="21"/>
  <c r="B52" i="5"/>
  <c r="R119" i="21"/>
  <c r="R110" i="21"/>
  <c r="B49" i="5"/>
  <c r="B54" i="5"/>
  <c r="R118" i="21"/>
  <c r="B57" i="5"/>
  <c r="R108" i="21"/>
  <c r="B58" i="5"/>
  <c r="R112" i="21"/>
  <c r="B50" i="5"/>
  <c r="R125" i="21"/>
  <c r="R117" i="21"/>
  <c r="B47" i="5"/>
  <c r="B51" i="5"/>
  <c r="B56" i="5"/>
  <c r="R111" i="21"/>
  <c r="R123" i="21"/>
  <c r="R124" i="21"/>
  <c r="R115" i="21"/>
  <c r="R87" i="21"/>
  <c r="R94" i="21"/>
  <c r="C24" i="5"/>
  <c r="F48" i="23"/>
  <c r="F40" i="23"/>
  <c r="E28" i="23"/>
  <c r="C11" i="5" s="1"/>
  <c r="D355" i="27" l="1"/>
  <c r="D354" i="27" s="1"/>
  <c r="D359" i="27" s="1"/>
  <c r="D360" i="27" s="1"/>
  <c r="C337" i="27"/>
  <c r="C338" i="27" s="1"/>
  <c r="D337" i="27"/>
  <c r="D338" i="27" s="1"/>
  <c r="B321" i="27"/>
  <c r="B305" i="27"/>
  <c r="B304" i="27" s="1"/>
  <c r="B314" i="27" s="1"/>
  <c r="E295" i="27" s="1"/>
  <c r="C304" i="27"/>
  <c r="C314" i="27" s="1"/>
  <c r="C322" i="27" s="1"/>
  <c r="B322" i="27" s="1"/>
  <c r="H65" i="21"/>
  <c r="H109" i="21" s="1"/>
  <c r="J65" i="21"/>
  <c r="J109" i="21" s="1"/>
  <c r="M65" i="21"/>
  <c r="N65" i="21"/>
  <c r="N109" i="21" s="1"/>
  <c r="P65" i="21"/>
  <c r="P109" i="21" s="1"/>
  <c r="H72" i="21"/>
  <c r="H116" i="21" s="1"/>
  <c r="J72" i="21"/>
  <c r="J116" i="21" s="1"/>
  <c r="L72" i="21"/>
  <c r="L116" i="21" s="1"/>
  <c r="N72" i="21"/>
  <c r="N116" i="21" s="1"/>
  <c r="P72" i="21"/>
  <c r="P116" i="21" s="1"/>
  <c r="B323" i="27" l="1"/>
  <c r="C323" i="27"/>
  <c r="B330" i="27" s="1"/>
  <c r="C339" i="27"/>
  <c r="D361" i="27" s="1"/>
  <c r="D362" i="27" s="1"/>
  <c r="C361" i="27"/>
  <c r="C362" i="27" s="1"/>
  <c r="B55" i="5"/>
  <c r="R116" i="21"/>
  <c r="B48" i="5"/>
  <c r="B46" i="5" s="1"/>
  <c r="D86" i="5" s="1"/>
  <c r="R109" i="21"/>
  <c r="R65" i="21"/>
  <c r="R72" i="21"/>
  <c r="D339" i="27" l="1"/>
  <c r="D340" i="27" s="1"/>
  <c r="C340" i="27"/>
  <c r="B365" i="27"/>
  <c r="B348" i="27"/>
  <c r="B329" i="27"/>
  <c r="C324" i="27"/>
  <c r="D324" i="27" s="1"/>
  <c r="G31" i="21"/>
  <c r="R31" i="21"/>
  <c r="G32" i="21"/>
  <c r="R32" i="21"/>
  <c r="G33" i="21"/>
  <c r="R33" i="21"/>
  <c r="G34" i="21"/>
  <c r="R34" i="21"/>
  <c r="O35" i="21"/>
  <c r="R35" i="21"/>
  <c r="M36" i="21"/>
  <c r="R36" i="21"/>
  <c r="K37" i="21"/>
  <c r="R37" i="21"/>
  <c r="K38" i="21"/>
  <c r="R38" i="21"/>
  <c r="G39" i="21"/>
  <c r="R39" i="21"/>
  <c r="G40" i="21"/>
  <c r="R40" i="21"/>
  <c r="M41" i="21"/>
  <c r="R41" i="21"/>
  <c r="G42" i="21"/>
  <c r="R42" i="21"/>
  <c r="O43" i="21"/>
  <c r="R43" i="21"/>
  <c r="M44" i="21"/>
  <c r="R44" i="21"/>
  <c r="Q45" i="21"/>
  <c r="R45" i="21"/>
  <c r="K46" i="21"/>
  <c r="R46" i="21"/>
  <c r="G47" i="21"/>
  <c r="R47" i="21"/>
  <c r="G48" i="21"/>
  <c r="R48" i="21"/>
  <c r="M49" i="21"/>
  <c r="R49" i="21"/>
  <c r="R50" i="21"/>
  <c r="Q51" i="21"/>
  <c r="R51" i="21"/>
  <c r="O52" i="21"/>
  <c r="R52" i="21"/>
  <c r="M53" i="21"/>
  <c r="R53" i="21"/>
  <c r="R6" i="21"/>
  <c r="R7" i="21"/>
  <c r="R8" i="21"/>
  <c r="R9" i="21"/>
  <c r="R10" i="21"/>
  <c r="R11" i="21"/>
  <c r="R12" i="21"/>
  <c r="R13" i="21"/>
  <c r="R14" i="21"/>
  <c r="R15" i="21"/>
  <c r="R16" i="21"/>
  <c r="R17" i="21"/>
  <c r="R18" i="21"/>
  <c r="R19" i="21"/>
  <c r="R20" i="21"/>
  <c r="R21" i="21"/>
  <c r="R22" i="21"/>
  <c r="R23" i="21"/>
  <c r="R24" i="21"/>
  <c r="R25" i="21"/>
  <c r="R26" i="21"/>
  <c r="R27" i="21"/>
  <c r="R5" i="21"/>
  <c r="B62" i="5"/>
  <c r="C53" i="5"/>
  <c r="C46" i="5"/>
  <c r="G27" i="21"/>
  <c r="G26" i="21"/>
  <c r="G25" i="21"/>
  <c r="G24" i="21"/>
  <c r="I23" i="21"/>
  <c r="O22" i="21"/>
  <c r="G21" i="21"/>
  <c r="G20" i="21"/>
  <c r="G19" i="21"/>
  <c r="G18" i="21"/>
  <c r="G17" i="21"/>
  <c r="G16" i="21"/>
  <c r="I15" i="21"/>
  <c r="O14" i="21"/>
  <c r="G13" i="21"/>
  <c r="G12" i="21"/>
  <c r="G11" i="21"/>
  <c r="G10" i="21"/>
  <c r="G9" i="21"/>
  <c r="G8" i="21"/>
  <c r="I7" i="21"/>
  <c r="O6" i="21"/>
  <c r="G5" i="21"/>
  <c r="B342" i="27" l="1"/>
  <c r="B364" i="27"/>
  <c r="B343" i="27"/>
  <c r="E324" i="27"/>
  <c r="F324" i="27" s="1"/>
  <c r="G324" i="27" s="1"/>
  <c r="H324" i="27" s="1"/>
  <c r="S50" i="21"/>
  <c r="I38" i="21"/>
  <c r="S45" i="21"/>
  <c r="Q33" i="21"/>
  <c r="O42" i="21"/>
  <c r="Q42" i="21"/>
  <c r="I42" i="21"/>
  <c r="S38" i="21"/>
  <c r="S35" i="21"/>
  <c r="G38" i="21"/>
  <c r="I34" i="21"/>
  <c r="S53" i="21"/>
  <c r="O53" i="21"/>
  <c r="K48" i="21"/>
  <c r="O33" i="21"/>
  <c r="K53" i="21"/>
  <c r="Q53" i="21"/>
  <c r="I53" i="21"/>
  <c r="I50" i="21"/>
  <c r="O39" i="21"/>
  <c r="Q37" i="21"/>
  <c r="G53" i="21"/>
  <c r="G50" i="21"/>
  <c r="G43" i="21"/>
  <c r="M39" i="21"/>
  <c r="M37" i="21"/>
  <c r="I37" i="21"/>
  <c r="I41" i="21"/>
  <c r="G41" i="21"/>
  <c r="G37" i="21"/>
  <c r="G51" i="21"/>
  <c r="S49" i="21"/>
  <c r="M48" i="21"/>
  <c r="Q46" i="21"/>
  <c r="O45" i="21"/>
  <c r="S42" i="21"/>
  <c r="S40" i="21"/>
  <c r="S37" i="21"/>
  <c r="O34" i="21"/>
  <c r="I33" i="21"/>
  <c r="M31" i="21"/>
  <c r="Q49" i="21"/>
  <c r="O46" i="21"/>
  <c r="M45" i="21"/>
  <c r="S41" i="21"/>
  <c r="M40" i="21"/>
  <c r="O49" i="21"/>
  <c r="M46" i="21"/>
  <c r="K45" i="21"/>
  <c r="Q41" i="21"/>
  <c r="K40" i="21"/>
  <c r="Q38" i="21"/>
  <c r="O37" i="21"/>
  <c r="S32" i="21"/>
  <c r="Q50" i="21"/>
  <c r="K49" i="21"/>
  <c r="I46" i="21"/>
  <c r="I45" i="21"/>
  <c r="O41" i="21"/>
  <c r="O38" i="21"/>
  <c r="S34" i="21"/>
  <c r="M32" i="21"/>
  <c r="O50" i="21"/>
  <c r="I49" i="21"/>
  <c r="O47" i="21"/>
  <c r="G46" i="21"/>
  <c r="G45" i="21"/>
  <c r="K41" i="21"/>
  <c r="M38" i="21"/>
  <c r="G35" i="21"/>
  <c r="S33" i="21"/>
  <c r="K32" i="21"/>
  <c r="G49" i="21"/>
  <c r="M47" i="21"/>
  <c r="Q34" i="21"/>
  <c r="K33" i="21"/>
  <c r="O31" i="21"/>
  <c r="S43" i="21"/>
  <c r="M52" i="21"/>
  <c r="S48" i="21"/>
  <c r="K52" i="21"/>
  <c r="M51" i="21"/>
  <c r="S47" i="21"/>
  <c r="K36" i="21"/>
  <c r="M35" i="21"/>
  <c r="S31" i="21"/>
  <c r="I52" i="21"/>
  <c r="K51" i="21"/>
  <c r="M50" i="21"/>
  <c r="Q48" i="21"/>
  <c r="I44" i="21"/>
  <c r="K43" i="21"/>
  <c r="M42" i="21"/>
  <c r="Q40" i="21"/>
  <c r="I36" i="21"/>
  <c r="K35" i="21"/>
  <c r="M34" i="21"/>
  <c r="Q32" i="21"/>
  <c r="S52" i="21"/>
  <c r="S51" i="21"/>
  <c r="O51" i="21"/>
  <c r="K44" i="21"/>
  <c r="M43" i="21"/>
  <c r="S39" i="21"/>
  <c r="S46" i="21"/>
  <c r="G52" i="21"/>
  <c r="I51" i="21"/>
  <c r="K50" i="21"/>
  <c r="O48" i="21"/>
  <c r="Q47" i="21"/>
  <c r="G44" i="21"/>
  <c r="I43" i="21"/>
  <c r="K42" i="21"/>
  <c r="O40" i="21"/>
  <c r="Q39" i="21"/>
  <c r="G36" i="21"/>
  <c r="I35" i="21"/>
  <c r="K34" i="21"/>
  <c r="M33" i="21"/>
  <c r="O32" i="21"/>
  <c r="Q31" i="21"/>
  <c r="S44" i="21"/>
  <c r="Q36" i="21"/>
  <c r="I32" i="21"/>
  <c r="K31" i="21"/>
  <c r="S36" i="21"/>
  <c r="Q52" i="21"/>
  <c r="I48" i="21"/>
  <c r="K47" i="21"/>
  <c r="Q44" i="21"/>
  <c r="I40" i="21"/>
  <c r="K39" i="21"/>
  <c r="I47" i="21"/>
  <c r="O44" i="21"/>
  <c r="Q43" i="21"/>
  <c r="I39" i="21"/>
  <c r="O36" i="21"/>
  <c r="Q35" i="21"/>
  <c r="I31" i="21"/>
  <c r="K20" i="21"/>
  <c r="K12" i="21"/>
  <c r="M12" i="21"/>
  <c r="O20" i="21"/>
  <c r="O12" i="21"/>
  <c r="Q20" i="21"/>
  <c r="G7" i="21"/>
  <c r="G15" i="21"/>
  <c r="Q12" i="21"/>
  <c r="G6" i="21"/>
  <c r="K13" i="21"/>
  <c r="O13" i="21"/>
  <c r="Q21" i="21"/>
  <c r="Q13" i="21"/>
  <c r="I22" i="21"/>
  <c r="I21" i="21"/>
  <c r="M21" i="21"/>
  <c r="Q27" i="21"/>
  <c r="Q19" i="21"/>
  <c r="Q11" i="21"/>
  <c r="G23" i="21"/>
  <c r="I14" i="21"/>
  <c r="M20" i="21"/>
  <c r="Q26" i="21"/>
  <c r="Q18" i="21"/>
  <c r="Q10" i="21"/>
  <c r="G22" i="21"/>
  <c r="I13" i="21"/>
  <c r="M13" i="21"/>
  <c r="Q25" i="21"/>
  <c r="Q17" i="21"/>
  <c r="Q9" i="21"/>
  <c r="I6" i="21"/>
  <c r="Q24" i="21"/>
  <c r="Q16" i="21"/>
  <c r="Q8" i="21"/>
  <c r="G14" i="21"/>
  <c r="K21" i="21"/>
  <c r="O21" i="21"/>
  <c r="Q23" i="21"/>
  <c r="Q15" i="21"/>
  <c r="Q7" i="21"/>
  <c r="Q22" i="21"/>
  <c r="Q14" i="21"/>
  <c r="Q6" i="21"/>
  <c r="Q5" i="21"/>
  <c r="O5" i="21"/>
  <c r="M5" i="21"/>
  <c r="K5" i="21"/>
  <c r="I5" i="21"/>
  <c r="I20" i="21"/>
  <c r="I12" i="21"/>
  <c r="K27" i="21"/>
  <c r="K19" i="21"/>
  <c r="K11" i="21"/>
  <c r="M27" i="21"/>
  <c r="M19" i="21"/>
  <c r="M11" i="21"/>
  <c r="O27" i="21"/>
  <c r="O19" i="21"/>
  <c r="O11" i="21"/>
  <c r="I27" i="21"/>
  <c r="I19" i="21"/>
  <c r="I11" i="21"/>
  <c r="K26" i="21"/>
  <c r="K18" i="21"/>
  <c r="K10" i="21"/>
  <c r="M26" i="21"/>
  <c r="M18" i="21"/>
  <c r="M10" i="21"/>
  <c r="O26" i="21"/>
  <c r="O18" i="21"/>
  <c r="O10" i="21"/>
  <c r="I26" i="21"/>
  <c r="I18" i="21"/>
  <c r="I10" i="21"/>
  <c r="K25" i="21"/>
  <c r="K17" i="21"/>
  <c r="K9" i="21"/>
  <c r="M25" i="21"/>
  <c r="M17" i="21"/>
  <c r="M9" i="21"/>
  <c r="O25" i="21"/>
  <c r="O17" i="21"/>
  <c r="O9" i="21"/>
  <c r="I25" i="21"/>
  <c r="I17" i="21"/>
  <c r="I9" i="21"/>
  <c r="K24" i="21"/>
  <c r="K16" i="21"/>
  <c r="K8" i="21"/>
  <c r="M24" i="21"/>
  <c r="M16" i="21"/>
  <c r="M8" i="21"/>
  <c r="O24" i="21"/>
  <c r="O16" i="21"/>
  <c r="O8" i="21"/>
  <c r="I24" i="21"/>
  <c r="I16" i="21"/>
  <c r="I8" i="21"/>
  <c r="K23" i="21"/>
  <c r="K15" i="21"/>
  <c r="K7" i="21"/>
  <c r="M23" i="21"/>
  <c r="M15" i="21"/>
  <c r="M7" i="21"/>
  <c r="O23" i="21"/>
  <c r="O15" i="21"/>
  <c r="O7" i="21"/>
  <c r="K22" i="21"/>
  <c r="K14" i="21"/>
  <c r="K6" i="21"/>
  <c r="M22" i="21"/>
  <c r="M14" i="21"/>
  <c r="M6" i="21"/>
  <c r="S16" i="21"/>
  <c r="S8" i="21"/>
  <c r="S10" i="21"/>
  <c r="S18" i="21"/>
  <c r="S20" i="21"/>
  <c r="S24" i="21"/>
  <c r="S9" i="21"/>
  <c r="S13" i="21"/>
  <c r="S14" i="21"/>
  <c r="S22" i="21"/>
  <c r="S26" i="21"/>
  <c r="S7" i="21"/>
  <c r="S21" i="21"/>
  <c r="S25" i="21"/>
  <c r="S11" i="21"/>
  <c r="S15" i="21"/>
  <c r="S17" i="21"/>
  <c r="S5" i="21"/>
  <c r="S12" i="21"/>
  <c r="S19" i="21"/>
  <c r="S23" i="21"/>
  <c r="S6" i="21"/>
  <c r="S27" i="21"/>
  <c r="B350" i="27" l="1"/>
  <c r="B331" i="27"/>
  <c r="B366" i="27" s="1"/>
  <c r="G54" i="21"/>
  <c r="F100" i="21" s="1"/>
  <c r="M54" i="21"/>
  <c r="L100" i="21" s="1"/>
  <c r="L104" i="21" s="1"/>
  <c r="O54" i="21"/>
  <c r="N100" i="21" s="1"/>
  <c r="N104" i="21" s="1"/>
  <c r="K54" i="21"/>
  <c r="J100" i="21" s="1"/>
  <c r="J104" i="21" s="1"/>
  <c r="I54" i="21"/>
  <c r="H100" i="21" s="1"/>
  <c r="H104" i="21" s="1"/>
  <c r="S54" i="21"/>
  <c r="Q54" i="21"/>
  <c r="P100" i="21" s="1"/>
  <c r="P104" i="21" s="1"/>
  <c r="G28" i="21"/>
  <c r="F78" i="21" s="1"/>
  <c r="Q28" i="21"/>
  <c r="P78" i="21" s="1"/>
  <c r="P82" i="21" s="1"/>
  <c r="O28" i="21"/>
  <c r="N78" i="21" s="1"/>
  <c r="N82" i="21" s="1"/>
  <c r="M28" i="21"/>
  <c r="L78" i="21" s="1"/>
  <c r="L82" i="21" s="1"/>
  <c r="K28" i="21"/>
  <c r="J78" i="21" s="1"/>
  <c r="J82" i="21" s="1"/>
  <c r="S28" i="21"/>
  <c r="I28" i="21"/>
  <c r="H78" i="21" s="1"/>
  <c r="H82" i="21" s="1"/>
  <c r="B344" i="27" l="1"/>
  <c r="R78" i="21"/>
  <c r="F82" i="21"/>
  <c r="R82" i="21" s="1"/>
  <c r="F104" i="21"/>
  <c r="R104" i="21" s="1"/>
  <c r="R100" i="21"/>
  <c r="F57" i="21"/>
  <c r="R57" i="21"/>
  <c r="N57" i="21"/>
  <c r="L57" i="21"/>
  <c r="P57" i="21"/>
  <c r="H57" i="21"/>
  <c r="J57" i="21"/>
  <c r="L122" i="21" l="1"/>
  <c r="N122" i="21"/>
  <c r="F122" i="21"/>
  <c r="C61" i="5" s="1"/>
  <c r="C60" i="5" s="1"/>
  <c r="P122" i="21"/>
  <c r="J122" i="21"/>
  <c r="E61" i="5" s="1"/>
  <c r="E60" i="5" s="1"/>
  <c r="H122" i="21"/>
  <c r="D61" i="5" s="1"/>
  <c r="D60" i="5" s="1"/>
  <c r="R67" i="19"/>
  <c r="R65" i="19"/>
  <c r="R64" i="19"/>
  <c r="R63" i="19"/>
  <c r="R62" i="19"/>
  <c r="R61" i="19"/>
  <c r="R60" i="19"/>
  <c r="R59" i="19"/>
  <c r="R58" i="19"/>
  <c r="R57" i="19"/>
  <c r="X57" i="19" s="1"/>
  <c r="R56" i="19"/>
  <c r="X56" i="19" s="1"/>
  <c r="R55" i="19"/>
  <c r="R54" i="19"/>
  <c r="R53" i="19"/>
  <c r="R52" i="19"/>
  <c r="R51" i="19"/>
  <c r="R50" i="19"/>
  <c r="R49" i="19"/>
  <c r="R48" i="19"/>
  <c r="R47" i="19"/>
  <c r="R46" i="19"/>
  <c r="R45" i="19"/>
  <c r="R44" i="19"/>
  <c r="E28" i="16"/>
  <c r="E30" i="16"/>
  <c r="E31" i="16"/>
  <c r="E32" i="16"/>
  <c r="R33" i="19"/>
  <c r="R32" i="19"/>
  <c r="R30" i="19"/>
  <c r="R29" i="19"/>
  <c r="R28" i="19"/>
  <c r="R27" i="19"/>
  <c r="R26" i="19"/>
  <c r="R25" i="19"/>
  <c r="R24" i="19"/>
  <c r="R23" i="19"/>
  <c r="R22" i="19"/>
  <c r="R21" i="19"/>
  <c r="R20" i="19"/>
  <c r="R19" i="19"/>
  <c r="R18" i="19"/>
  <c r="R17" i="19"/>
  <c r="R16" i="19"/>
  <c r="R15" i="19"/>
  <c r="R14" i="19"/>
  <c r="R13" i="19"/>
  <c r="R12" i="19"/>
  <c r="R11" i="19"/>
  <c r="R10" i="19"/>
  <c r="J13" i="17"/>
  <c r="J14" i="17"/>
  <c r="J15" i="17"/>
  <c r="J16" i="17"/>
  <c r="J17" i="17"/>
  <c r="J18" i="17"/>
  <c r="J19" i="17"/>
  <c r="J20" i="17"/>
  <c r="J21" i="17"/>
  <c r="J22" i="17"/>
  <c r="J23" i="17"/>
  <c r="J24" i="17"/>
  <c r="J25" i="17"/>
  <c r="J26" i="17"/>
  <c r="J27" i="17"/>
  <c r="J28" i="17"/>
  <c r="J29" i="17"/>
  <c r="J30" i="17"/>
  <c r="J31" i="17"/>
  <c r="J33" i="17"/>
  <c r="J12" i="17"/>
  <c r="E29" i="16"/>
  <c r="J11" i="17"/>
  <c r="P126" i="21" l="1"/>
  <c r="H17" i="24" s="1"/>
  <c r="H16" i="24" s="1"/>
  <c r="H61" i="5"/>
  <c r="H60" i="5" s="1"/>
  <c r="N126" i="21"/>
  <c r="G17" i="24" s="1"/>
  <c r="G16" i="24" s="1"/>
  <c r="G61" i="5"/>
  <c r="G60" i="5" s="1"/>
  <c r="L126" i="21"/>
  <c r="F17" i="24" s="1"/>
  <c r="F16" i="24" s="1"/>
  <c r="F61" i="5"/>
  <c r="F60" i="5" s="1"/>
  <c r="R122" i="21"/>
  <c r="F126" i="21"/>
  <c r="C17" i="24" s="1"/>
  <c r="C16" i="24" s="1"/>
  <c r="H126" i="21"/>
  <c r="J126" i="21"/>
  <c r="E17" i="24" s="1"/>
  <c r="E16" i="24" s="1"/>
  <c r="X51" i="19"/>
  <c r="X50" i="19"/>
  <c r="X53" i="19"/>
  <c r="V65" i="19"/>
  <c r="X55" i="19"/>
  <c r="V59" i="19"/>
  <c r="V60" i="19"/>
  <c r="V64" i="19"/>
  <c r="W49" i="19"/>
  <c r="V52" i="19"/>
  <c r="V63" i="19"/>
  <c r="X54" i="19"/>
  <c r="V61" i="19"/>
  <c r="V67" i="19"/>
  <c r="R68" i="19"/>
  <c r="S15" i="19"/>
  <c r="J39" i="17"/>
  <c r="S27" i="19"/>
  <c r="S32" i="19"/>
  <c r="S33" i="19"/>
  <c r="S14" i="19"/>
  <c r="S22" i="19"/>
  <c r="S12" i="19"/>
  <c r="S16" i="19"/>
  <c r="S19" i="19"/>
  <c r="S25" i="19"/>
  <c r="S10" i="19"/>
  <c r="S18" i="19"/>
  <c r="S26" i="19"/>
  <c r="S20" i="19"/>
  <c r="S24" i="19"/>
  <c r="S13" i="19"/>
  <c r="S17" i="19"/>
  <c r="S28" i="19"/>
  <c r="S21" i="19"/>
  <c r="S29" i="19"/>
  <c r="S11" i="19"/>
  <c r="S23" i="19"/>
  <c r="S30" i="19"/>
  <c r="R34" i="19"/>
  <c r="E45" i="16"/>
  <c r="V58" i="19" l="1"/>
  <c r="W58" i="19"/>
  <c r="W70" i="19" s="1"/>
  <c r="D10" i="2" s="1"/>
  <c r="X49" i="19"/>
  <c r="V49" i="19"/>
  <c r="C26" i="24"/>
  <c r="C4" i="24"/>
  <c r="C6" i="24" s="1"/>
  <c r="C75" i="5" s="1"/>
  <c r="F26" i="24"/>
  <c r="F4" i="24"/>
  <c r="F6" i="24" s="1"/>
  <c r="F75" i="5" s="1"/>
  <c r="G26" i="24"/>
  <c r="G4" i="24"/>
  <c r="G6" i="24" s="1"/>
  <c r="G75" i="5" s="1"/>
  <c r="E26" i="24"/>
  <c r="E4" i="24"/>
  <c r="E6" i="24" s="1"/>
  <c r="E75" i="5" s="1"/>
  <c r="H26" i="24"/>
  <c r="H4" i="24"/>
  <c r="H6" i="24" s="1"/>
  <c r="H75" i="5" s="1"/>
  <c r="D17" i="24"/>
  <c r="V62" i="19"/>
  <c r="U62" i="19"/>
  <c r="R126" i="21"/>
  <c r="C66" i="5"/>
  <c r="C72" i="5" s="1"/>
  <c r="B61" i="5"/>
  <c r="S70" i="19"/>
  <c r="S34" i="19"/>
  <c r="V70" i="19" l="1"/>
  <c r="D8" i="2" s="1"/>
  <c r="X70" i="19"/>
  <c r="D11" i="2" s="1"/>
  <c r="D9" i="2" s="1"/>
  <c r="D16" i="24"/>
  <c r="B17" i="24"/>
  <c r="B16" i="24" s="1"/>
  <c r="U70" i="19"/>
  <c r="D7" i="2" s="1"/>
  <c r="K15" i="17"/>
  <c r="M15" i="17" s="1"/>
  <c r="K23" i="17"/>
  <c r="P15" i="17" l="1"/>
  <c r="N15" i="17"/>
  <c r="P23" i="17"/>
  <c r="O23" i="17"/>
  <c r="D26" i="24"/>
  <c r="D4" i="24"/>
  <c r="D6" i="24" s="1"/>
  <c r="D75" i="5" s="1"/>
  <c r="B26" i="24"/>
  <c r="B4" i="24"/>
  <c r="K28" i="17"/>
  <c r="N28" i="17" s="1"/>
  <c r="N38" i="17"/>
  <c r="K33" i="17"/>
  <c r="P33" i="17" s="1"/>
  <c r="K31" i="17"/>
  <c r="K29" i="17"/>
  <c r="N29" i="17" s="1"/>
  <c r="K27" i="17"/>
  <c r="N27" i="17" s="1"/>
  <c r="K26" i="17"/>
  <c r="N26" i="17" s="1"/>
  <c r="K30" i="17"/>
  <c r="K16" i="17"/>
  <c r="N16" i="17" s="1"/>
  <c r="K24" i="17"/>
  <c r="K18" i="17"/>
  <c r="O18" i="17" s="1"/>
  <c r="K17" i="17"/>
  <c r="K22" i="17"/>
  <c r="K21" i="17"/>
  <c r="K14" i="17"/>
  <c r="K20" i="17"/>
  <c r="K13" i="17"/>
  <c r="K25" i="17"/>
  <c r="N25" i="17" s="1"/>
  <c r="K19" i="17"/>
  <c r="K12" i="17"/>
  <c r="K11" i="17"/>
  <c r="O14" i="17" l="1"/>
  <c r="M14" i="17"/>
  <c r="P22" i="17"/>
  <c r="N22" i="17"/>
  <c r="P21" i="17"/>
  <c r="N21" i="17"/>
  <c r="P20" i="17"/>
  <c r="N20" i="17"/>
  <c r="O17" i="17"/>
  <c r="N17" i="17"/>
  <c r="P19" i="17"/>
  <c r="N19" i="17"/>
  <c r="N12" i="17"/>
  <c r="M12" i="17"/>
  <c r="N13" i="17"/>
  <c r="M13" i="17"/>
  <c r="P16" i="17"/>
  <c r="O16" i="17"/>
  <c r="P11" i="17"/>
  <c r="M11" i="17"/>
  <c r="N11" i="17"/>
  <c r="O11" i="17"/>
  <c r="P13" i="17"/>
  <c r="O13" i="17"/>
  <c r="N33" i="17"/>
  <c r="O33" i="17"/>
  <c r="P30" i="17"/>
  <c r="O30" i="17"/>
  <c r="P18" i="17"/>
  <c r="N18" i="17"/>
  <c r="M31" i="17"/>
  <c r="P31" i="17"/>
  <c r="N14" i="17"/>
  <c r="P14" i="17"/>
  <c r="M24" i="17"/>
  <c r="P24" i="17"/>
  <c r="K41" i="17"/>
  <c r="C6" i="5" s="1"/>
  <c r="M30" i="17"/>
  <c r="C31" i="5"/>
  <c r="C85" i="5" s="1"/>
  <c r="O41" i="17" l="1"/>
  <c r="B10" i="2" s="1"/>
  <c r="B20" i="2" s="1"/>
  <c r="B27" i="2" s="1"/>
  <c r="N41" i="17"/>
  <c r="B8" i="2" s="1"/>
  <c r="B18" i="2" s="1"/>
  <c r="M41" i="17"/>
  <c r="B7" i="2" s="1"/>
  <c r="B17" i="2" s="1"/>
  <c r="B25" i="2" s="1"/>
  <c r="B16" i="2"/>
  <c r="D6" i="2"/>
  <c r="B6" i="2"/>
  <c r="P41" i="17"/>
  <c r="B11" i="2" s="1"/>
  <c r="B75" i="5"/>
  <c r="D89" i="5" s="1"/>
  <c r="H53" i="5"/>
  <c r="G53" i="5"/>
  <c r="F53" i="5"/>
  <c r="E53" i="5"/>
  <c r="D46" i="5"/>
  <c r="B64" i="5"/>
  <c r="B60" i="5" s="1"/>
  <c r="D87" i="5" s="1"/>
  <c r="H46" i="5"/>
  <c r="G46" i="5"/>
  <c r="F46" i="5"/>
  <c r="E46" i="5"/>
  <c r="B9" i="2" l="1"/>
  <c r="B19" i="2" s="1"/>
  <c r="D27" i="2" s="1"/>
  <c r="E27" i="2" s="1"/>
  <c r="B21" i="2"/>
  <c r="E89" i="5"/>
  <c r="F66" i="5"/>
  <c r="F72" i="5" s="1"/>
  <c r="F74" i="5" s="1"/>
  <c r="F76" i="5" s="1"/>
  <c r="C41" i="5"/>
  <c r="C86" i="5"/>
  <c r="E86" i="5" s="1"/>
  <c r="G66" i="5"/>
  <c r="G72" i="5" s="1"/>
  <c r="G74" i="5" s="1"/>
  <c r="G76" i="5" s="1"/>
  <c r="H66" i="5"/>
  <c r="H72" i="5" s="1"/>
  <c r="H74" i="5" s="1"/>
  <c r="H76" i="5" s="1"/>
  <c r="E66" i="5"/>
  <c r="E72" i="5" s="1"/>
  <c r="E74" i="5" s="1"/>
  <c r="E76" i="5" s="1"/>
  <c r="B53" i="5"/>
  <c r="D85" i="5" s="1"/>
  <c r="D53" i="5"/>
  <c r="D88" i="5" l="1"/>
  <c r="D90" i="5" s="1"/>
  <c r="B66" i="5"/>
  <c r="B72" i="5" s="1"/>
  <c r="D66" i="5"/>
  <c r="D72" i="5" s="1"/>
  <c r="D74" i="5" l="1"/>
  <c r="D76" i="5" s="1"/>
  <c r="E85" i="5" l="1"/>
  <c r="B14" i="2" l="1"/>
  <c r="C5" i="5"/>
  <c r="C87" i="5" l="1"/>
  <c r="C39" i="5"/>
  <c r="E9" i="16" s="1"/>
  <c r="C5" i="16" l="1"/>
  <c r="E138" i="29" s="1"/>
  <c r="E87" i="5"/>
  <c r="E88" i="5" s="1"/>
  <c r="C88" i="5"/>
  <c r="C90" i="5" s="1"/>
  <c r="E90" i="5" s="1"/>
  <c r="B336" i="29" l="1"/>
  <c r="B337" i="29" s="1"/>
  <c r="B338" i="29" s="1"/>
  <c r="B340" i="29" s="1"/>
  <c r="E2" i="29"/>
  <c r="C40" i="5"/>
  <c r="C42" i="5" s="1"/>
  <c r="B5" i="2" s="1"/>
  <c r="E138" i="27"/>
  <c r="E2" i="27" s="1"/>
  <c r="B336" i="27" l="1"/>
  <c r="B337" i="27" s="1"/>
  <c r="B358" i="27"/>
  <c r="B359" i="27" s="1"/>
  <c r="B360" i="27" s="1"/>
  <c r="B71" i="5"/>
  <c r="B74" i="5" s="1"/>
  <c r="B76" i="5" s="1"/>
  <c r="C71" i="5"/>
  <c r="C74" i="5" s="1"/>
  <c r="C76" i="5" s="1"/>
  <c r="C81" i="5" s="1"/>
  <c r="B15" i="2"/>
  <c r="D25" i="2" s="1"/>
  <c r="E25" i="2" s="1"/>
  <c r="D5" i="2"/>
  <c r="B338" i="27" l="1"/>
  <c r="B340" i="27" s="1"/>
  <c r="B362" i="27"/>
  <c r="C77" i="5"/>
  <c r="D77" i="5" s="1"/>
  <c r="C92" i="5"/>
  <c r="C82" i="5"/>
  <c r="C93" i="5" s="1"/>
  <c r="E77" i="5" l="1"/>
  <c r="F77" i="5" l="1"/>
  <c r="G77" i="5" s="1"/>
  <c r="H77" i="5" s="1"/>
  <c r="B77" i="5" l="1"/>
  <c r="C83" i="5"/>
  <c r="C94"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Sahar Mohammad</author>
  </authors>
  <commentList>
    <comment ref="B79" authorId="0" shapeId="0" xr:uid="{115F78F3-00B6-4339-8796-D3C6A2152F6A}">
      <text>
        <r>
          <rPr>
            <b/>
            <sz val="9"/>
            <color indexed="81"/>
            <rFont val="Tahoma"/>
            <family val="2"/>
          </rPr>
          <t>Note:
Use only for EIT Projects where returns are to be calculated. Business returns should not be measured by IT.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Sahar Mohammad</author>
  </authors>
  <commentList>
    <comment ref="E35" authorId="0" shapeId="0" xr:uid="{2C2A3458-5A74-4BDA-BF67-46E1DA9A05EC}">
      <text>
        <r>
          <rPr>
            <b/>
            <sz val="9"/>
            <color indexed="81"/>
            <rFont val="Tahoma"/>
            <family val="2"/>
          </rPr>
          <t>Note:</t>
        </r>
        <r>
          <rPr>
            <sz val="9"/>
            <color indexed="81"/>
            <rFont val="Tahoma"/>
            <family val="2"/>
          </rPr>
          <t xml:space="preserve">
Insert Custom rate</t>
        </r>
      </text>
    </comment>
    <comment ref="E36" authorId="0" shapeId="0" xr:uid="{C9BDB7C8-02B4-4187-A548-E2E45F682AE4}">
      <text>
        <r>
          <rPr>
            <b/>
            <sz val="9"/>
            <color indexed="81"/>
            <rFont val="Tahoma"/>
            <family val="2"/>
          </rPr>
          <t xml:space="preserve">Note:
</t>
        </r>
        <r>
          <rPr>
            <sz val="9"/>
            <color indexed="81"/>
            <rFont val="Tahoma"/>
            <family val="2"/>
          </rPr>
          <t>Insert Custom rate</t>
        </r>
      </text>
    </comment>
    <comment ref="E37" authorId="0" shapeId="0" xr:uid="{08D6FF34-F251-4E3E-847C-1F57D04A6B6D}">
      <text>
        <r>
          <rPr>
            <b/>
            <sz val="9"/>
            <color indexed="81"/>
            <rFont val="Tahoma"/>
            <family val="2"/>
          </rPr>
          <t xml:space="preserve">Note:
</t>
        </r>
        <r>
          <rPr>
            <sz val="9"/>
            <color indexed="81"/>
            <rFont val="Tahoma"/>
            <family val="2"/>
          </rPr>
          <t>Insert Custom rate</t>
        </r>
      </text>
    </comment>
    <comment ref="E38" authorId="0" shapeId="0" xr:uid="{413DD285-4053-41E0-87EB-4685AF1E74A5}">
      <text>
        <r>
          <rPr>
            <b/>
            <sz val="9"/>
            <color indexed="81"/>
            <rFont val="Tahoma"/>
            <family val="2"/>
          </rPr>
          <t xml:space="preserve">Note:
</t>
        </r>
        <r>
          <rPr>
            <sz val="9"/>
            <color indexed="81"/>
            <rFont val="Tahoma"/>
            <family val="2"/>
          </rPr>
          <t>Insert Custom rate</t>
        </r>
      </text>
    </comment>
    <comment ref="A98" authorId="0" shapeId="0" xr:uid="{E5CF2CDB-6FB3-4CD6-BF93-028F5BD135BF}">
      <text>
        <r>
          <rPr>
            <b/>
            <sz val="9"/>
            <color indexed="81"/>
            <rFont val="Tahoma"/>
            <family val="2"/>
          </rPr>
          <t>Note:</t>
        </r>
        <r>
          <rPr>
            <sz val="9"/>
            <color indexed="81"/>
            <rFont val="Tahoma"/>
            <family val="2"/>
          </rPr>
          <t xml:space="preserve">
Enter license costs for the duration of the inflight project up until go-live.</t>
        </r>
      </text>
    </comment>
    <comment ref="A327" authorId="0" shapeId="0" xr:uid="{C7F73AD4-0D2C-48A4-B875-E2A124E3474A}">
      <text>
        <r>
          <rPr>
            <b/>
            <sz val="9"/>
            <color indexed="81"/>
            <rFont val="Tahoma"/>
            <family val="2"/>
          </rPr>
          <t>Note:
Use only for EIT Projects where returns are to be calculated. Business returns should not be measured by IT.</t>
        </r>
      </text>
    </comment>
    <comment ref="A346" authorId="0" shapeId="0" xr:uid="{050260E9-F54D-4712-80A0-4F16DB5827F9}">
      <text>
        <r>
          <rPr>
            <b/>
            <sz val="9"/>
            <color indexed="81"/>
            <rFont val="Tahoma"/>
            <family val="2"/>
          </rPr>
          <t>Note:
Use only for EIT Projects where returns are to be calculated. Business returns should not be measured by IT.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Sahar Mohammad</author>
  </authors>
  <commentList>
    <comment ref="E35" authorId="0" shapeId="0" xr:uid="{38B08F1A-9E3B-4E96-8EC3-4ABDBC204D0C}">
      <text>
        <r>
          <rPr>
            <b/>
            <sz val="9"/>
            <color indexed="81"/>
            <rFont val="Tahoma"/>
            <family val="2"/>
          </rPr>
          <t>Note:</t>
        </r>
        <r>
          <rPr>
            <sz val="9"/>
            <color indexed="81"/>
            <rFont val="Tahoma"/>
            <family val="2"/>
          </rPr>
          <t xml:space="preserve">
Insert Custom rate</t>
        </r>
      </text>
    </comment>
    <comment ref="E36" authorId="0" shapeId="0" xr:uid="{5DD55134-461D-49B7-836B-D9F8E0C954D2}">
      <text>
        <r>
          <rPr>
            <b/>
            <sz val="9"/>
            <color indexed="81"/>
            <rFont val="Tahoma"/>
            <family val="2"/>
          </rPr>
          <t xml:space="preserve">Note:
</t>
        </r>
        <r>
          <rPr>
            <sz val="9"/>
            <color indexed="81"/>
            <rFont val="Tahoma"/>
            <family val="2"/>
          </rPr>
          <t>Insert Custom rate</t>
        </r>
      </text>
    </comment>
    <comment ref="E37" authorId="0" shapeId="0" xr:uid="{2AB21BA9-8665-4E5F-97DF-F63366E3EB7D}">
      <text>
        <r>
          <rPr>
            <b/>
            <sz val="9"/>
            <color indexed="81"/>
            <rFont val="Tahoma"/>
            <family val="2"/>
          </rPr>
          <t xml:space="preserve">Note:
</t>
        </r>
        <r>
          <rPr>
            <sz val="9"/>
            <color indexed="81"/>
            <rFont val="Tahoma"/>
            <family val="2"/>
          </rPr>
          <t>Insert Custom rate</t>
        </r>
      </text>
    </comment>
    <comment ref="E38" authorId="0" shapeId="0" xr:uid="{4B1931C5-1DCB-41FF-B098-B2CD395FE18E}">
      <text>
        <r>
          <rPr>
            <b/>
            <sz val="9"/>
            <color indexed="81"/>
            <rFont val="Tahoma"/>
            <family val="2"/>
          </rPr>
          <t xml:space="preserve">Note:
</t>
        </r>
        <r>
          <rPr>
            <sz val="9"/>
            <color indexed="81"/>
            <rFont val="Tahoma"/>
            <family val="2"/>
          </rPr>
          <t>Insert Custom rate</t>
        </r>
      </text>
    </comment>
    <comment ref="A98" authorId="0" shapeId="0" xr:uid="{15BAC59B-2B6E-4CEE-9C19-D8E58824423D}">
      <text>
        <r>
          <rPr>
            <b/>
            <sz val="9"/>
            <color indexed="81"/>
            <rFont val="Tahoma"/>
            <family val="2"/>
          </rPr>
          <t>Note:</t>
        </r>
        <r>
          <rPr>
            <sz val="9"/>
            <color indexed="81"/>
            <rFont val="Tahoma"/>
            <family val="2"/>
          </rPr>
          <t xml:space="preserve">
Enter license costs for the duration of the inflight project up until go-live.</t>
        </r>
      </text>
    </comment>
    <comment ref="A327" authorId="0" shapeId="0" xr:uid="{9E6C9F15-D3EA-494E-93FB-4AC3525CF9D9}">
      <text>
        <r>
          <rPr>
            <b/>
            <sz val="9"/>
            <color indexed="81"/>
            <rFont val="Tahoma"/>
            <family val="2"/>
          </rPr>
          <t>Note:
Use only for EIT Projects where returns are to be calculated. Business returns should not be measured by IT.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Sahar Mohammad</author>
  </authors>
  <commentList>
    <comment ref="E35" authorId="0" shapeId="0" xr:uid="{B9342222-55E6-434C-93AB-27838BE480D7}">
      <text>
        <r>
          <rPr>
            <b/>
            <sz val="9"/>
            <color indexed="81"/>
            <rFont val="Tahoma"/>
            <family val="2"/>
          </rPr>
          <t>Note:</t>
        </r>
        <r>
          <rPr>
            <sz val="9"/>
            <color indexed="81"/>
            <rFont val="Tahoma"/>
            <family val="2"/>
          </rPr>
          <t xml:space="preserve">
Insert Custom rate</t>
        </r>
      </text>
    </comment>
    <comment ref="E36" authorId="0" shapeId="0" xr:uid="{79601773-F521-4924-A31D-0D25592A3643}">
      <text>
        <r>
          <rPr>
            <b/>
            <sz val="9"/>
            <color indexed="81"/>
            <rFont val="Tahoma"/>
            <family val="2"/>
          </rPr>
          <t xml:space="preserve">Note:
</t>
        </r>
        <r>
          <rPr>
            <sz val="9"/>
            <color indexed="81"/>
            <rFont val="Tahoma"/>
            <family val="2"/>
          </rPr>
          <t>Insert Custom rate</t>
        </r>
      </text>
    </comment>
    <comment ref="E37" authorId="0" shapeId="0" xr:uid="{A2771762-44A8-4824-9725-9A85D6E41D60}">
      <text>
        <r>
          <rPr>
            <b/>
            <sz val="9"/>
            <color indexed="81"/>
            <rFont val="Tahoma"/>
            <family val="2"/>
          </rPr>
          <t xml:space="preserve">Note:
</t>
        </r>
        <r>
          <rPr>
            <sz val="9"/>
            <color indexed="81"/>
            <rFont val="Tahoma"/>
            <family val="2"/>
          </rPr>
          <t>Insert Custom rate</t>
        </r>
      </text>
    </comment>
    <comment ref="E38" authorId="0" shapeId="0" xr:uid="{3CB03015-F024-43D3-A93F-9270F4AB109E}">
      <text>
        <r>
          <rPr>
            <b/>
            <sz val="9"/>
            <color indexed="81"/>
            <rFont val="Tahoma"/>
            <family val="2"/>
          </rPr>
          <t xml:space="preserve">Note:
</t>
        </r>
        <r>
          <rPr>
            <sz val="9"/>
            <color indexed="81"/>
            <rFont val="Tahoma"/>
            <family val="2"/>
          </rPr>
          <t>Insert Custom rate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Sahar Mohammad</author>
  </authors>
  <commentList>
    <comment ref="E30" authorId="0" shapeId="0" xr:uid="{43883E70-3891-4E79-8D15-8D3DE74325C6}">
      <text>
        <r>
          <rPr>
            <b/>
            <sz val="9"/>
            <color indexed="81"/>
            <rFont val="Tahoma"/>
            <family val="2"/>
          </rPr>
          <t>Note:</t>
        </r>
        <r>
          <rPr>
            <sz val="9"/>
            <color indexed="81"/>
            <rFont val="Tahoma"/>
            <family val="2"/>
          </rPr>
          <t xml:space="preserve">
Insert Custom rate</t>
        </r>
      </text>
    </comment>
    <comment ref="E31" authorId="0" shapeId="0" xr:uid="{F3806645-BFF4-4A6E-9730-7B992D2E8A34}">
      <text>
        <r>
          <rPr>
            <b/>
            <sz val="9"/>
            <color indexed="81"/>
            <rFont val="Tahoma"/>
            <family val="2"/>
          </rPr>
          <t xml:space="preserve">Note:
</t>
        </r>
        <r>
          <rPr>
            <sz val="9"/>
            <color indexed="81"/>
            <rFont val="Tahoma"/>
            <family val="2"/>
          </rPr>
          <t>Insert Custom rate</t>
        </r>
      </text>
    </comment>
    <comment ref="E32" authorId="0" shapeId="0" xr:uid="{173FE75C-4199-4172-A44F-4E3E1F961A03}">
      <text>
        <r>
          <rPr>
            <b/>
            <sz val="9"/>
            <color indexed="81"/>
            <rFont val="Tahoma"/>
            <family val="2"/>
          </rPr>
          <t xml:space="preserve">Note:
</t>
        </r>
        <r>
          <rPr>
            <sz val="9"/>
            <color indexed="81"/>
            <rFont val="Tahoma"/>
            <family val="2"/>
          </rPr>
          <t>Insert Custom rate</t>
        </r>
      </text>
    </comment>
    <comment ref="E33" authorId="0" shapeId="0" xr:uid="{8989B5CD-9FA5-47C4-9AEE-7D4AC3731D30}">
      <text>
        <r>
          <rPr>
            <b/>
            <sz val="9"/>
            <color indexed="81"/>
            <rFont val="Tahoma"/>
            <family val="2"/>
          </rPr>
          <t xml:space="preserve">Note:
</t>
        </r>
        <r>
          <rPr>
            <sz val="9"/>
            <color indexed="81"/>
            <rFont val="Tahoma"/>
            <family val="2"/>
          </rPr>
          <t>Insert Custom rate</t>
        </r>
      </text>
    </comment>
    <comment ref="E64" authorId="0" shapeId="0" xr:uid="{B3FBFCC2-3E29-4D6E-BA73-1780591CA0EF}">
      <text>
        <r>
          <rPr>
            <b/>
            <sz val="9"/>
            <color indexed="81"/>
            <rFont val="Tahoma"/>
            <family val="2"/>
          </rPr>
          <t>Note:</t>
        </r>
        <r>
          <rPr>
            <sz val="9"/>
            <color indexed="81"/>
            <rFont val="Tahoma"/>
            <family val="2"/>
          </rPr>
          <t xml:space="preserve">
Insert Custom rate</t>
        </r>
      </text>
    </comment>
    <comment ref="E65" authorId="0" shapeId="0" xr:uid="{A8FC662D-C865-49A9-8C8B-0AD428CEEF68}">
      <text>
        <r>
          <rPr>
            <b/>
            <sz val="9"/>
            <color indexed="81"/>
            <rFont val="Tahoma"/>
            <family val="2"/>
          </rPr>
          <t xml:space="preserve">Note:
</t>
        </r>
        <r>
          <rPr>
            <sz val="9"/>
            <color indexed="81"/>
            <rFont val="Tahoma"/>
            <family val="2"/>
          </rPr>
          <t>Insert Custom rate</t>
        </r>
      </text>
    </comment>
    <comment ref="E66" authorId="0" shapeId="0" xr:uid="{8CABE8A4-1D75-4C36-9482-F584A3240B8C}">
      <text>
        <r>
          <rPr>
            <b/>
            <sz val="9"/>
            <color indexed="81"/>
            <rFont val="Tahoma"/>
            <family val="2"/>
          </rPr>
          <t xml:space="preserve">Note:
</t>
        </r>
        <r>
          <rPr>
            <sz val="9"/>
            <color indexed="81"/>
            <rFont val="Tahoma"/>
            <family val="2"/>
          </rPr>
          <t>Insert Custom rate</t>
        </r>
      </text>
    </comment>
    <comment ref="E67" authorId="0" shapeId="0" xr:uid="{860439F6-1607-4B9F-A9F9-FF85C55B5CB8}">
      <text>
        <r>
          <rPr>
            <b/>
            <sz val="9"/>
            <color indexed="81"/>
            <rFont val="Tahoma"/>
            <family val="2"/>
          </rPr>
          <t xml:space="preserve">Note:
</t>
        </r>
        <r>
          <rPr>
            <sz val="9"/>
            <color indexed="81"/>
            <rFont val="Tahoma"/>
            <family val="2"/>
          </rPr>
          <t>Insert Custom rate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Sahar Mohammad</author>
  </authors>
  <commentList>
    <comment ref="A33" authorId="0" shapeId="0" xr:uid="{66471D81-8064-45E8-B609-A2287E0FED40}">
      <text>
        <r>
          <rPr>
            <b/>
            <sz val="9"/>
            <color indexed="81"/>
            <rFont val="Tahoma"/>
            <family val="2"/>
          </rPr>
          <t>Note:</t>
        </r>
        <r>
          <rPr>
            <sz val="9"/>
            <color indexed="81"/>
            <rFont val="Tahoma"/>
            <family val="2"/>
          </rPr>
          <t xml:space="preserve">
Enter license costs for the duration of the inflight project up until go-live.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1CF7C3D-1377-4237-A6FA-B7A94CC8A368}" keepAlive="1" name="Query - Table1" description="Connection to the 'Table1' query in the workbook." type="5" refreshedVersion="0"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<sst xmlns="http://schemas.openxmlformats.org/spreadsheetml/2006/main" count="2479" uniqueCount="469">
  <si>
    <t>Estimation Toolkit version 1.9 published on 23rd April 2025.</t>
  </si>
  <si>
    <t>Please enter details of Project/Discovery/Enhancement:</t>
  </si>
  <si>
    <r>
      <t xml:space="preserve">ENHANCEMENTS / PROJECT / DISCOVERY:  </t>
    </r>
    <r>
      <rPr>
        <i/>
        <sz val="10"/>
        <color theme="1" tint="0.34998626667073579"/>
        <rFont val="Calibri"/>
        <family val="2"/>
        <scheme val="minor"/>
      </rPr>
      <t>Enter the project ID no. this should match the EID shown in POL</t>
    </r>
  </si>
  <si>
    <t>RISE Phase 1A</t>
  </si>
  <si>
    <r>
      <t xml:space="preserve">PROJECT MANAGER/SCRUM MASTER: </t>
    </r>
    <r>
      <rPr>
        <i/>
        <sz val="10"/>
        <color theme="1" tint="0.34998626667073579"/>
        <rFont val="Calibri"/>
        <family val="2"/>
        <scheme val="minor"/>
      </rPr>
      <t>Enter the project owner's name. This should match the EID shown in POL</t>
    </r>
  </si>
  <si>
    <t>TBC</t>
  </si>
  <si>
    <r>
      <t xml:space="preserve">Is this an Agile or Waterfall Delivery?  </t>
    </r>
    <r>
      <rPr>
        <b/>
        <i/>
        <sz val="10"/>
        <color rgb="FFFF0000"/>
        <rFont val="Calibri"/>
        <family val="2"/>
        <scheme val="minor"/>
      </rPr>
      <t>Select from drop down.</t>
    </r>
    <r>
      <rPr>
        <b/>
        <sz val="10"/>
        <color theme="1"/>
        <rFont val="Calibri"/>
        <family val="2"/>
        <scheme val="minor"/>
      </rPr>
      <t xml:space="preserve">
</t>
    </r>
    <r>
      <rPr>
        <sz val="10"/>
        <color theme="1"/>
        <rFont val="Calibri"/>
        <family val="2"/>
        <scheme val="minor"/>
      </rPr>
      <t>(Accordingly, please fill in the relevant sheet.)</t>
    </r>
  </si>
  <si>
    <t xml:space="preserve">Agile </t>
  </si>
  <si>
    <t>LOB / TRIBE -  Product Manager :</t>
  </si>
  <si>
    <t>GTDP</t>
  </si>
  <si>
    <t>DESCRIPTION OF WORK:</t>
  </si>
  <si>
    <t>&lt;Text&gt;</t>
  </si>
  <si>
    <t>LIST FEATURES (Agile) / HIGH LEVEL REQUIREMENTS or SHARE A LINK:</t>
  </si>
  <si>
    <t>&lt;Text or URL&gt;</t>
  </si>
  <si>
    <r>
      <t xml:space="preserve">Team estimations: </t>
    </r>
    <r>
      <rPr>
        <i/>
        <sz val="10"/>
        <color theme="1" tint="0.34998626667073579"/>
        <rFont val="Calibri"/>
        <family val="2"/>
        <scheme val="minor"/>
      </rPr>
      <t>(Please upload for reference in this sheet if available. Ex. cloud estimations)</t>
    </r>
  </si>
  <si>
    <t>&lt;Attachment&gt;</t>
  </si>
  <si>
    <t>Justifications for Estimations (if necessary):</t>
  </si>
  <si>
    <t>Your Guide/Steps:</t>
  </si>
  <si>
    <r>
      <t xml:space="preserve">Choose Agile/Waterfall from drop down above. </t>
    </r>
    <r>
      <rPr>
        <i/>
        <sz val="11"/>
        <color theme="1"/>
        <rFont val="Calibri"/>
        <family val="2"/>
        <scheme val="minor"/>
      </rPr>
      <t>This will decide which values to pull into the Summary sheet.</t>
    </r>
  </si>
  <si>
    <r>
      <t xml:space="preserve">All the fields open for you to edit will be in </t>
    </r>
    <r>
      <rPr>
        <b/>
        <sz val="11"/>
        <rFont val="Calibri"/>
        <family val="2"/>
        <scheme val="minor"/>
      </rPr>
      <t>White.</t>
    </r>
  </si>
  <si>
    <r>
      <t xml:space="preserve">Open </t>
    </r>
    <r>
      <rPr>
        <b/>
        <sz val="11"/>
        <color theme="1"/>
        <rFont val="Calibri"/>
        <family val="2"/>
        <scheme val="minor"/>
      </rPr>
      <t>Assumtions</t>
    </r>
    <r>
      <rPr>
        <sz val="11"/>
        <color theme="1"/>
        <rFont val="Calibri"/>
        <family val="2"/>
        <scheme val="minor"/>
      </rPr>
      <t xml:space="preserve"> sheet and add your contingency.</t>
    </r>
  </si>
  <si>
    <r>
      <t xml:space="preserve">Open the relevant CAPEX Sheet, </t>
    </r>
    <r>
      <rPr>
        <b/>
        <sz val="11"/>
        <color theme="1"/>
        <rFont val="Calibri"/>
        <family val="2"/>
        <scheme val="minor"/>
      </rPr>
      <t>CAPEX - Waterfall</t>
    </r>
    <r>
      <rPr>
        <sz val="11"/>
        <color theme="1"/>
        <rFont val="Calibri"/>
        <family val="2"/>
        <scheme val="minor"/>
      </rPr>
      <t xml:space="preserve"> OR </t>
    </r>
    <r>
      <rPr>
        <b/>
        <sz val="11"/>
        <color theme="1"/>
        <rFont val="Calibri"/>
        <family val="2"/>
        <scheme val="minor"/>
      </rPr>
      <t>CAPEX -</t>
    </r>
    <r>
      <rPr>
        <sz val="11"/>
        <color theme="1"/>
        <rFont val="Calibri"/>
        <family val="2"/>
        <scheme val="minor"/>
      </rPr>
      <t xml:space="preserve"> </t>
    </r>
    <r>
      <rPr>
        <b/>
        <sz val="11"/>
        <color theme="1"/>
        <rFont val="Calibri"/>
        <family val="2"/>
        <scheme val="minor"/>
      </rPr>
      <t>Agile</t>
    </r>
    <r>
      <rPr>
        <sz val="11"/>
        <color theme="1"/>
        <rFont val="Calibri"/>
        <family val="2"/>
        <scheme val="minor"/>
      </rPr>
      <t xml:space="preserve"> based on your selection above and fill in the efforts.</t>
    </r>
  </si>
  <si>
    <r>
      <t xml:space="preserve">Fill in </t>
    </r>
    <r>
      <rPr>
        <b/>
        <sz val="11"/>
        <color theme="1"/>
        <rFont val="Calibri"/>
        <family val="2"/>
        <scheme val="minor"/>
      </rPr>
      <t>CAPEX - Others</t>
    </r>
    <r>
      <rPr>
        <sz val="11"/>
        <color theme="1"/>
        <rFont val="Calibri"/>
        <family val="2"/>
        <scheme val="minor"/>
      </rPr>
      <t xml:space="preserve"> sheet for all other CAPEX costs.</t>
    </r>
  </si>
  <si>
    <r>
      <t xml:space="preserve">Fill in </t>
    </r>
    <r>
      <rPr>
        <b/>
        <sz val="11"/>
        <color theme="1"/>
        <rFont val="Calibri"/>
        <family val="2"/>
        <scheme val="minor"/>
      </rPr>
      <t>OPEX</t>
    </r>
    <r>
      <rPr>
        <sz val="11"/>
        <color theme="1"/>
        <rFont val="Calibri"/>
        <family val="2"/>
        <scheme val="minor"/>
      </rPr>
      <t xml:space="preserve"> Sheet to calculate the incremental support required.</t>
    </r>
  </si>
  <si>
    <r>
      <t xml:space="preserve">Fill in </t>
    </r>
    <r>
      <rPr>
        <b/>
        <sz val="11"/>
        <color theme="1"/>
        <rFont val="Calibri"/>
        <family val="2"/>
        <scheme val="minor"/>
      </rPr>
      <t>Benefit Cost Analysis</t>
    </r>
    <r>
      <rPr>
        <sz val="11"/>
        <color theme="1"/>
        <rFont val="Calibri"/>
        <family val="2"/>
        <scheme val="minor"/>
      </rPr>
      <t xml:space="preserve"> (if there is any reduced incremental support from the OPEX sheet, it will be carried over into this sheet as </t>
    </r>
    <r>
      <rPr>
        <b/>
        <sz val="11"/>
        <color theme="1"/>
        <rFont val="Calibri"/>
        <family val="2"/>
        <scheme val="minor"/>
      </rPr>
      <t>Cost Reduction</t>
    </r>
    <r>
      <rPr>
        <sz val="11"/>
        <color theme="1"/>
        <rFont val="Calibri"/>
        <family val="2"/>
        <scheme val="minor"/>
      </rPr>
      <t>)</t>
    </r>
  </si>
  <si>
    <r>
      <t xml:space="preserve">Review </t>
    </r>
    <r>
      <rPr>
        <b/>
        <sz val="11"/>
        <color theme="1"/>
        <rFont val="Calibri"/>
        <family val="2"/>
        <scheme val="minor"/>
      </rPr>
      <t>Summary sheet.</t>
    </r>
    <r>
      <rPr>
        <sz val="11"/>
        <color theme="1"/>
        <rFont val="Calibri"/>
        <family val="2"/>
        <scheme val="minor"/>
      </rPr>
      <t xml:space="preserve"> For full CAPEX + OPEX and Business Case.</t>
    </r>
  </si>
  <si>
    <r>
      <t xml:space="preserve">Review </t>
    </r>
    <r>
      <rPr>
        <b/>
        <sz val="11"/>
        <color theme="1"/>
        <rFont val="Calibri"/>
        <family val="2"/>
        <scheme val="minor"/>
      </rPr>
      <t>Validations</t>
    </r>
    <r>
      <rPr>
        <sz val="11"/>
        <color theme="1"/>
        <rFont val="Calibri"/>
        <family val="2"/>
        <scheme val="minor"/>
      </rPr>
      <t xml:space="preserve"> sheet, and provide justifications if required in the field provided above.</t>
    </r>
  </si>
  <si>
    <t>Make sure Estimates are circulated with all the necessary stakeholders before submitting a business case.</t>
  </si>
  <si>
    <t xml:space="preserve">ie. (In addition to the Development/Engineering Teams, have you spoken to all of: CyberSecurity, Data, Service Support, Test Management, Change Management, and Architecture) </t>
  </si>
  <si>
    <t>SOP's</t>
  </si>
  <si>
    <t>CAPEX</t>
  </si>
  <si>
    <t>GTDP - Manpower - resource forecasting to provide GTDP Labour estimates</t>
  </si>
  <si>
    <t>Field Type</t>
  </si>
  <si>
    <t xml:space="preserve">Enter Resource Role / Description in Column A--- You can use names here if you are already aware of the names </t>
  </si>
  <si>
    <t xml:space="preserve">Free Text </t>
  </si>
  <si>
    <t xml:space="preserve">Enter Chapter they belong to in Column B - This is which Team resource belongs to </t>
  </si>
  <si>
    <t>Drop Down</t>
  </si>
  <si>
    <t>Select Roles from Column C - Do not type the roles as we only have 23 fixed roles same in POL and in Finance Sheets</t>
  </si>
  <si>
    <t xml:space="preserve">Select Location of the resource Internal / External- nearshore/ Offshore / Onsite </t>
  </si>
  <si>
    <t>Add Custome rates in sheet called "List " in Roles section only in rows called "Additional 1 / Additional 2 " by updating the custome rates. Please make sure these resources are with different rate in POL as well and has an exceptional cases agreed with PCS and FInance</t>
  </si>
  <si>
    <t>3rd Party Implementation - OTHERS- This section is to define vendor costs</t>
  </si>
  <si>
    <t xml:space="preserve">Please add the Vendor cost agreed as per the Estimates provided by GPD for each vendor in different Lines </t>
  </si>
  <si>
    <t>NA</t>
  </si>
  <si>
    <t>Please do not modify the formulas</t>
  </si>
  <si>
    <t xml:space="preserve">Fill Column C with the Value and 1 in Month if its not a T&amp;M Contracts </t>
  </si>
  <si>
    <t>Free Text on column C</t>
  </si>
  <si>
    <t>Implementation - Travel and Others</t>
  </si>
  <si>
    <t xml:space="preserve">Its important to add travel cost for overseas projects </t>
  </si>
  <si>
    <t>Fill out the section for Airfare / Per Diem / Hotels</t>
  </si>
  <si>
    <t xml:space="preserve">Fill the cost in Column C and no of trips in Column D </t>
  </si>
  <si>
    <t>Software</t>
  </si>
  <si>
    <t>Please enter each Software Lic Cost  + Qty + Month to get the Software estimatations</t>
  </si>
  <si>
    <t>Sofware cost of first year till Goi Live should be considered under CAPEX</t>
  </si>
  <si>
    <t>Year 1 Cost of Software shopuld be part of CAPEX to allow PO creations</t>
  </si>
  <si>
    <t>Hardware / Cloud Hosting</t>
  </si>
  <si>
    <t>Enter Monthly Cloud Hosting or hardware cost / Qty and No Of Month till Go Live under CAPEX</t>
  </si>
  <si>
    <t xml:space="preserve">If multiple Relases , OPEX of release 1 will start during project phase , should not be part of CAPEX </t>
  </si>
  <si>
    <t>Assumptions</t>
  </si>
  <si>
    <t>Add contingency in Assumption Page - Select from Drop down method and fill the respective section</t>
  </si>
  <si>
    <t>OPEX</t>
  </si>
  <si>
    <t xml:space="preserve">Incremental GTDP Manpower '5 year   ( Existing GTDP support cost should already be part of the Budget, if not leave existing section as blank, this will calculate required cost to support ) </t>
  </si>
  <si>
    <t>1. Current GTDP Labour Cost- Define the existing GTDP Support cost to support the existing solution - Add all the roles currently supporting the function</t>
  </si>
  <si>
    <t>2. Proposed GTDP Labour Cost- Provide revised GTDP Support cost</t>
  </si>
  <si>
    <t>3. Incremental Cost requested = Current GTDPSupport - Proposed GTDP Cost</t>
  </si>
  <si>
    <t xml:space="preserve">As per formulas- reverify the titles and net balance </t>
  </si>
  <si>
    <t xml:space="preserve">Incremental Software '5 year ( Existing software cost should already be part of the Budget, if not leave existing section as blank, this will calculate required cost to support ) </t>
  </si>
  <si>
    <t xml:space="preserve">Manually enter the OPEX for 5 years - Considering all software Lic and additional support </t>
  </si>
  <si>
    <t xml:space="preserve">Incremental Hardware/ Cloud Hosting '5 year ( Existing Hardware maintenance cost should already be part of the Budget, if not leave existing section as blank, this will calculate required cost to support ) </t>
  </si>
  <si>
    <t xml:space="preserve">Manually enter OPEX for 5 year of all Azure Subscription cost or any other Hardware manitenance cost </t>
  </si>
  <si>
    <t xml:space="preserve">Free text </t>
  </si>
  <si>
    <t xml:space="preserve">Incremental 3rd Party / Implementation Support Cost '5 year ( Existing 3rd Party vendor support cost should already be part of the Budget, if not leave existing section as blank, </t>
  </si>
  <si>
    <t xml:space="preserve">If there are any 3rd Paty yearly OPEX , please mentione the yearly cost </t>
  </si>
  <si>
    <t>Free Text</t>
  </si>
  <si>
    <t>COST BENEFIT ANALYSIS</t>
  </si>
  <si>
    <t xml:space="preserve">There are 3 Types of Cost benefit  Analysis Enter manually Revenue Generation </t>
  </si>
  <si>
    <t>Cost Reduction/ avoidance can be derived from OPEX , sample formula is provided</t>
  </si>
  <si>
    <t>DO's and DON’T's</t>
  </si>
  <si>
    <t>Do not modify a formula without consulting PCS</t>
  </si>
  <si>
    <t xml:space="preserve">Do not change the rates of defined 29 roles, as they are from finance and cannot be modified. You can add additional custom rate only if agreed with finance and PCS, which needs to be same in POL </t>
  </si>
  <si>
    <t>Do not modify the template , make a copy in your laptop / POL and update for your respective projects</t>
  </si>
  <si>
    <t xml:space="preserve">Always check the summary and totals at the bottom is matching at the top </t>
  </si>
  <si>
    <t>Any additional row when added should be varified in summary sheet for totals</t>
  </si>
  <si>
    <t>Hardware and Software Cost will be part of the Asset creations and Capitalization, if the postings are not reflecting in SAP posting during the project please ensure you get the mapping done by admin, and you have an allignment to get the postings done during execution pjase of the project</t>
  </si>
  <si>
    <t>For OPEX - Incremental GTDP Labour cost should show additional budget requested as part of the TCO over and above BAU approved budget</t>
  </si>
  <si>
    <t>Accumulated Cash Flow ( Only applicable for Revenue Generation Busienss Cases , otherwise please delete the formulas)</t>
  </si>
  <si>
    <t xml:space="preserve">For Agile if additional Sprint columns are added in CAPEX , make sure you veryfy the total in last column and in Business case section below is matching with the total of GTDP Resource cost </t>
  </si>
  <si>
    <t xml:space="preserve">      Note: Once estimations completed - please review checks &amp; validations - 'Validations' sheet </t>
  </si>
  <si>
    <t>Type of project :</t>
  </si>
  <si>
    <t>SubTotal</t>
  </si>
  <si>
    <t>IMPLEMENTATION COST</t>
  </si>
  <si>
    <t>EIT Labor Cost</t>
  </si>
  <si>
    <t>Vendor Fixed Cost</t>
  </si>
  <si>
    <t>Other Contracts</t>
  </si>
  <si>
    <t>OCM</t>
  </si>
  <si>
    <t>Misc. (UAT lunches, taxis, etc)</t>
  </si>
  <si>
    <t>Travel &amp; Accomodation</t>
  </si>
  <si>
    <t>SOFTWARE/HOSTING COST</t>
  </si>
  <si>
    <t>SAP</t>
  </si>
  <si>
    <t>Cloud Infrastructure</t>
  </si>
  <si>
    <t>Other Software 1</t>
  </si>
  <si>
    <t>Other Software 2</t>
  </si>
  <si>
    <t>Other Software 3</t>
  </si>
  <si>
    <t>Other Software 4</t>
  </si>
  <si>
    <t>HARDWARE COST (Workplace)</t>
  </si>
  <si>
    <t>Network</t>
  </si>
  <si>
    <t>Infrastructure Cost</t>
  </si>
  <si>
    <t>Hardware 1 (non-catalogue)</t>
  </si>
  <si>
    <t>Hardware 2 (non-catalogue)</t>
  </si>
  <si>
    <t>Hardware 3 (non-catalogue)</t>
  </si>
  <si>
    <t>Hardware 4 (non-catalogue)</t>
  </si>
  <si>
    <t>CAPEX SUMMARY</t>
  </si>
  <si>
    <t>Total Implementation Cost</t>
  </si>
  <si>
    <t>Contingency 
(based on Assumptions sheet)</t>
  </si>
  <si>
    <t>Total Material (Software &amp; Hardware)</t>
  </si>
  <si>
    <t>Total CAPEX:</t>
  </si>
  <si>
    <t>OPEX (Incremental Cost)</t>
  </si>
  <si>
    <t>Total</t>
  </si>
  <si>
    <t>Year 0</t>
  </si>
  <si>
    <t>Year 1</t>
  </si>
  <si>
    <t>Year 2</t>
  </si>
  <si>
    <t>Year 3</t>
  </si>
  <si>
    <t>Year 4</t>
  </si>
  <si>
    <t>Year 5</t>
  </si>
  <si>
    <t>SOFTWARE MAINTENANCE</t>
  </si>
  <si>
    <t>HARDWARE MAINTENANCE</t>
  </si>
  <si>
    <t>Hardware (non-catalogue)</t>
  </si>
  <si>
    <t>SUPPORT</t>
  </si>
  <si>
    <t>EIT Support</t>
  </si>
  <si>
    <t>Managed Services</t>
  </si>
  <si>
    <t>OPEX SUMMARY</t>
  </si>
  <si>
    <t>FOR BUSINESS CASE</t>
  </si>
  <si>
    <t>Total Capex</t>
  </si>
  <si>
    <t>-</t>
  </si>
  <si>
    <t>Total OPEX</t>
  </si>
  <si>
    <t>CASHFLOW</t>
  </si>
  <si>
    <t>Total Outgoing</t>
  </si>
  <si>
    <t>Total Incoming</t>
  </si>
  <si>
    <t>Net Cash Flow</t>
  </si>
  <si>
    <t>Accumulated Cash Flow</t>
  </si>
  <si>
    <t xml:space="preserve">ROI Calculation: </t>
  </si>
  <si>
    <t>NPV Rate</t>
  </si>
  <si>
    <t>NPV</t>
  </si>
  <si>
    <t>IRR</t>
  </si>
  <si>
    <t>Payback</t>
  </si>
  <si>
    <t>5 YEAR TCO</t>
  </si>
  <si>
    <t>Hardware</t>
  </si>
  <si>
    <t>Implementation / Support</t>
  </si>
  <si>
    <t>Total Cash Outflow</t>
  </si>
  <si>
    <t>Income Generated</t>
  </si>
  <si>
    <t>Payback: NPV Rate @ 18.0%</t>
  </si>
  <si>
    <t>NPV (Over 5 Years)</t>
  </si>
  <si>
    <t>Payback (Years)</t>
  </si>
  <si>
    <t>GTDP Manpower Estimations</t>
  </si>
  <si>
    <r>
      <t xml:space="preserve">Expected Duration </t>
    </r>
    <r>
      <rPr>
        <i/>
        <sz val="11"/>
        <color theme="1"/>
        <rFont val="Calibri"/>
        <family val="2"/>
        <scheme val="minor"/>
      </rPr>
      <t>(Calendar Months)</t>
    </r>
    <r>
      <rPr>
        <b/>
        <i/>
        <sz val="11"/>
        <color theme="1"/>
        <rFont val="Calibri"/>
        <family val="2"/>
        <scheme val="minor"/>
      </rPr>
      <t>:</t>
    </r>
  </si>
  <si>
    <r>
      <t xml:space="preserve">Enter 
</t>
    </r>
    <r>
      <rPr>
        <sz val="11"/>
        <color theme="1"/>
        <rFont val="Calibri"/>
        <family val="2"/>
        <scheme val="minor"/>
      </rPr>
      <t>Resource Role / Description</t>
    </r>
  </si>
  <si>
    <r>
      <t xml:space="preserve">Select
</t>
    </r>
    <r>
      <rPr>
        <sz val="11"/>
        <color theme="1"/>
        <rFont val="Calibri"/>
        <family val="2"/>
        <scheme val="minor"/>
      </rPr>
      <t>Chapter they belong to :</t>
    </r>
  </si>
  <si>
    <r>
      <t xml:space="preserve">Select
</t>
    </r>
    <r>
      <rPr>
        <sz val="11"/>
        <color theme="1"/>
        <rFont val="Calibri"/>
        <family val="2"/>
        <scheme val="minor"/>
      </rPr>
      <t>Role Type they belong to:</t>
    </r>
  </si>
  <si>
    <r>
      <t xml:space="preserve">Select
</t>
    </r>
    <r>
      <rPr>
        <sz val="11"/>
        <color theme="1"/>
        <rFont val="Calibri"/>
        <family val="2"/>
        <scheme val="minor"/>
      </rPr>
      <t>Internal/External</t>
    </r>
  </si>
  <si>
    <t>Resource Rate 
(AED)</t>
  </si>
  <si>
    <t>Discovery</t>
  </si>
  <si>
    <t>Initiation / Planning / Blueprinting</t>
  </si>
  <si>
    <t>Build / Test / Deploy / Execute</t>
  </si>
  <si>
    <t>Closure</t>
  </si>
  <si>
    <t>MD</t>
  </si>
  <si>
    <t>SubCost (AED)</t>
  </si>
  <si>
    <t>High-level Planning, Charter, Business Requirement definition.
Detailed project planning, Blueprint &amp; Functional specs build</t>
  </si>
  <si>
    <t>Build (Configuration/development), Unit testing, Testware build, SIT, UAT, Training, Deployment, KT, stabilization and post go-live aupport</t>
  </si>
  <si>
    <t xml:space="preserve">PM/ PMO Activities
</t>
  </si>
  <si>
    <t>enter MDs:</t>
  </si>
  <si>
    <t>Program Manager</t>
  </si>
  <si>
    <t>LOB</t>
  </si>
  <si>
    <t>Technical Delivery Lead</t>
  </si>
  <si>
    <t>Internal</t>
  </si>
  <si>
    <t>Program Control / Change Management</t>
  </si>
  <si>
    <t>PPM</t>
  </si>
  <si>
    <t>PCS/ PMO Admin</t>
  </si>
  <si>
    <t>Treasury Project Manager</t>
  </si>
  <si>
    <t>Project Manager/ Scrum Master</t>
  </si>
  <si>
    <t>Yard Logistics Project Manager</t>
  </si>
  <si>
    <t>Finance Reporting / Opentext VIM Project Manager</t>
  </si>
  <si>
    <t>External - Offshore</t>
  </si>
  <si>
    <t>Enterprise Architect</t>
  </si>
  <si>
    <t>Ent Architecture</t>
  </si>
  <si>
    <t>Ent/Technical Architect</t>
  </si>
  <si>
    <t>Solution Architect / SAP Platform lead</t>
  </si>
  <si>
    <t>SAP Tech Platform Owner</t>
  </si>
  <si>
    <t>SAP Functional consultant</t>
  </si>
  <si>
    <t>SAP Engineering</t>
  </si>
  <si>
    <t>SAP Functional Consultant</t>
  </si>
  <si>
    <t>External - onsite</t>
  </si>
  <si>
    <t>Logistics Functional consultant</t>
  </si>
  <si>
    <t>SAP Authorization</t>
  </si>
  <si>
    <t>SAP Engineer</t>
  </si>
  <si>
    <t>Logistics TPO</t>
  </si>
  <si>
    <t>Technical Product Owner</t>
  </si>
  <si>
    <t xml:space="preserve">Retail TPO </t>
  </si>
  <si>
    <t>Digital Engineering</t>
  </si>
  <si>
    <t>Digital Engineer</t>
  </si>
  <si>
    <t>EIM</t>
  </si>
  <si>
    <t>Data Engineer</t>
  </si>
  <si>
    <t>Ent. Platform Services</t>
  </si>
  <si>
    <t>Test Engineer (SIT/UAT/Smoke/Performance)</t>
  </si>
  <si>
    <t xml:space="preserve">Custom Rate Resources- Add in List </t>
  </si>
  <si>
    <t>Cutom Roles</t>
  </si>
  <si>
    <t>Additional 1</t>
  </si>
  <si>
    <t>Additional 4</t>
  </si>
  <si>
    <t>Additional 5</t>
  </si>
  <si>
    <t>Additional 6</t>
  </si>
  <si>
    <t>SubTotal (mandays):</t>
  </si>
  <si>
    <t>SubTotal (cost):</t>
  </si>
  <si>
    <t>total implementation cost:</t>
  </si>
  <si>
    <t>3rd Party Implementation - OTHERS</t>
  </si>
  <si>
    <t>Title</t>
  </si>
  <si>
    <t>Description</t>
  </si>
  <si>
    <t>Cost
(AED)</t>
  </si>
  <si>
    <t>QTY/Months</t>
  </si>
  <si>
    <t>Cost</t>
  </si>
  <si>
    <t>Any other</t>
  </si>
  <si>
    <t>Total (AED):</t>
  </si>
  <si>
    <t>Employee Type</t>
  </si>
  <si>
    <r>
      <t xml:space="preserve">Travel &amp; Accomodation
</t>
    </r>
    <r>
      <rPr>
        <b/>
        <sz val="11"/>
        <color rgb="FFFF0000"/>
        <rFont val="Calibri"/>
        <family val="2"/>
        <scheme val="minor"/>
      </rPr>
      <t>Select</t>
    </r>
  </si>
  <si>
    <t>No of Trips or mandays</t>
  </si>
  <si>
    <t>Consultant</t>
  </si>
  <si>
    <t>Air Fare Economy</t>
  </si>
  <si>
    <t>EIT</t>
  </si>
  <si>
    <t>Per Diem</t>
  </si>
  <si>
    <t>Any Other</t>
  </si>
  <si>
    <t>Hotel / Lodgings</t>
  </si>
  <si>
    <t>Travel &amp; Accomodation Total (AED):</t>
  </si>
  <si>
    <t>License/ Hardware Cost
(AED)</t>
  </si>
  <si>
    <t>QTY</t>
  </si>
  <si>
    <t>Months</t>
  </si>
  <si>
    <t>MONTHLY LICENCE COST 10K, OVER PROJECT DURATION 10 MONTHS</t>
  </si>
  <si>
    <t>Monthly Cloud Hosting / Hardware Cost
(AED)</t>
  </si>
  <si>
    <t>Any other Hardware</t>
  </si>
  <si>
    <t>Contingency</t>
  </si>
  <si>
    <r>
      <t xml:space="preserve">Incremental GTDP Manpower '5 year </t>
    </r>
    <r>
      <rPr>
        <b/>
        <sz val="12"/>
        <rFont val="Calibri"/>
        <family val="2"/>
        <scheme val="minor"/>
      </rPr>
      <t xml:space="preserve">  ( Existing GTDP support cost should already be part of the Budget, if not leave existing section as blank, this will calculate required cost to support ) </t>
    </r>
  </si>
  <si>
    <r>
      <t xml:space="preserve">Enter 
</t>
    </r>
    <r>
      <rPr>
        <sz val="11"/>
        <color theme="1"/>
        <rFont val="Calibri"/>
        <family val="2"/>
        <scheme val="minor"/>
      </rPr>
      <t>Resource Role / Description</t>
    </r>
  </si>
  <si>
    <r>
      <t xml:space="preserve">Select
</t>
    </r>
    <r>
      <rPr>
        <sz val="11"/>
        <color theme="1"/>
        <rFont val="Calibri"/>
        <family val="2"/>
        <scheme val="minor"/>
      </rPr>
      <t>Chapter they belong to :</t>
    </r>
  </si>
  <si>
    <r>
      <t xml:space="preserve">Select
</t>
    </r>
    <r>
      <rPr>
        <sz val="11"/>
        <color theme="1"/>
        <rFont val="Calibri"/>
        <family val="2"/>
        <scheme val="minor"/>
      </rPr>
      <t>Role Type they belong to:</t>
    </r>
  </si>
  <si>
    <r>
      <t xml:space="preserve">Select
</t>
    </r>
    <r>
      <rPr>
        <sz val="11"/>
        <color theme="1"/>
        <rFont val="Calibri"/>
        <family val="2"/>
        <scheme val="minor"/>
      </rPr>
      <t>Internal/External</t>
    </r>
  </si>
  <si>
    <t xml:space="preserve">Total 5yr Cost </t>
  </si>
  <si>
    <t>cost:</t>
  </si>
  <si>
    <t>1. Current GTDP Labour Cost</t>
  </si>
  <si>
    <t>html developer</t>
  </si>
  <si>
    <t>visual desginer</t>
  </si>
  <si>
    <t>UX Design</t>
  </si>
  <si>
    <t>UX &amp; Design</t>
  </si>
  <si>
    <t>middleware resource</t>
  </si>
  <si>
    <t>SAP Integration Engineer</t>
  </si>
  <si>
    <t>Service Analyst</t>
  </si>
  <si>
    <t>cloud engineer</t>
  </si>
  <si>
    <t>Infrastructure Engineer</t>
  </si>
  <si>
    <t>auto TPO</t>
  </si>
  <si>
    <t>External - Nearshore</t>
  </si>
  <si>
    <t>POS Engineer</t>
  </si>
  <si>
    <t>TOTAL CURRENT COST (AED):</t>
  </si>
  <si>
    <t>2. Proposed GTDP Labour Cost</t>
  </si>
  <si>
    <t>TOTAL PROPOSED COST (AED):</t>
  </si>
  <si>
    <t>Incremental Cost requested = Current GTDP - Proposed GTDP</t>
  </si>
  <si>
    <t>TOTAL INCREMENTAL EIT SUPPORT COST:</t>
  </si>
  <si>
    <t xml:space="preserve">Current Run Cost </t>
  </si>
  <si>
    <t>Cost Element</t>
  </si>
  <si>
    <t>Total Current (AED)</t>
  </si>
  <si>
    <t xml:space="preserve">Proposed Run Cost </t>
  </si>
  <si>
    <t>Total Proposed (AED)</t>
  </si>
  <si>
    <t>Net Delta</t>
  </si>
  <si>
    <t>Net Delta (AED)</t>
  </si>
  <si>
    <r>
      <t>Incremental Hardware/</t>
    </r>
    <r>
      <rPr>
        <sz val="14"/>
        <rFont val="Calibri"/>
        <family val="2"/>
        <scheme val="minor"/>
      </rPr>
      <t xml:space="preserve"> </t>
    </r>
    <r>
      <rPr>
        <b/>
        <sz val="14"/>
        <rFont val="Calibri"/>
        <family val="2"/>
        <scheme val="minor"/>
      </rPr>
      <t xml:space="preserve">Cloud Hosting '5 year ( Existing Hardware maintenance cost should already be part of the Budget, if not leave existing section as blank, this will calculate required cost to support ) </t>
    </r>
  </si>
  <si>
    <t>Hardware 1</t>
  </si>
  <si>
    <t>Hardware 2</t>
  </si>
  <si>
    <t>Hardware 3</t>
  </si>
  <si>
    <t>Hardware 4</t>
  </si>
  <si>
    <t>Hardware 5</t>
  </si>
  <si>
    <t>Hardware 6</t>
  </si>
  <si>
    <t xml:space="preserve">Incremental 3rd Party / Implementation Support Cost '5 year ( Existing 3rd Party vendor support cost should already be part of the Budget, if not leave existing section as blank, this will calculate required cost to support ) </t>
  </si>
  <si>
    <t xml:space="preserve">Vendor Support cost </t>
  </si>
  <si>
    <t>Net Delta Incremenatl OPEX</t>
  </si>
  <si>
    <t>Net Incremental OPEX</t>
  </si>
  <si>
    <t>Recurrent Cashflow</t>
  </si>
  <si>
    <r>
      <t xml:space="preserve">REVENUE GENERATED: </t>
    </r>
    <r>
      <rPr>
        <i/>
        <sz val="12"/>
        <color theme="1"/>
        <rFont val="Calibri"/>
        <family val="2"/>
        <scheme val="minor"/>
      </rPr>
      <t>Additional revenue generated / revenue increase due to the Project Implementation. New revenue stream introduced due to the Project</t>
    </r>
    <r>
      <rPr>
        <sz val="12"/>
        <color theme="1"/>
        <rFont val="Calibri"/>
        <family val="2"/>
        <scheme val="minor"/>
      </rPr>
      <t xml:space="preserve"> Implementation.</t>
    </r>
  </si>
  <si>
    <t>&lt;Revenue Stream 1&gt;</t>
  </si>
  <si>
    <t>&lt;Revenue Stream 2&gt;</t>
  </si>
  <si>
    <t>&lt;Revenue Stream 3&gt;</t>
  </si>
  <si>
    <r>
      <t xml:space="preserve">COST REDUCTION: </t>
    </r>
    <r>
      <rPr>
        <i/>
        <sz val="12"/>
        <color theme="1"/>
        <rFont val="Calibri"/>
        <family val="2"/>
        <scheme val="minor"/>
      </rPr>
      <t>Reduction in existing operations cost (resources / software / vendor / Hardware). Only the difference of cost from existing to new to be considered. Mention values of each components seperately (for Eg: Software, Hardware, Resources).</t>
    </r>
  </si>
  <si>
    <r>
      <t xml:space="preserve">Cost Reduction </t>
    </r>
    <r>
      <rPr>
        <i/>
        <sz val="12"/>
        <rFont val="Calibri"/>
        <family val="2"/>
        <scheme val="minor"/>
      </rPr>
      <t>- picked up from reduced Incremental Support</t>
    </r>
    <r>
      <rPr>
        <sz val="12"/>
        <rFont val="Calibri"/>
        <family val="2"/>
        <scheme val="minor"/>
      </rPr>
      <t xml:space="preserve"> (OPEX Sheet)</t>
    </r>
  </si>
  <si>
    <t>&lt;Cost Reduction2&gt;</t>
  </si>
  <si>
    <t>&lt;Cost Reduction3&gt;</t>
  </si>
  <si>
    <r>
      <t xml:space="preserve">COST AVOIDANCE: </t>
    </r>
    <r>
      <rPr>
        <i/>
        <sz val="12"/>
        <color theme="1"/>
        <rFont val="Calibri"/>
        <family val="2"/>
        <scheme val="minor"/>
      </rPr>
      <t>Existing costs (resources / software / hardware / vendor) which is completely avoided. Mention values of each components seperately (for Eg: Software, Hardware, Resources).</t>
    </r>
  </si>
  <si>
    <t>&lt;Cost Avoidance1&gt;</t>
  </si>
  <si>
    <t>&lt;Cost Avoidance2&gt;</t>
  </si>
  <si>
    <t>&lt;Cost Avoidance3&gt;</t>
  </si>
  <si>
    <t>Net Cashflow (Incoming)</t>
  </si>
  <si>
    <t>ROI CALCULATION</t>
  </si>
  <si>
    <t>Total Cashflow (including Intercompany Charges)</t>
  </si>
  <si>
    <t>GTDP Labour</t>
  </si>
  <si>
    <t>3rd Party</t>
  </si>
  <si>
    <t>Mis</t>
  </si>
  <si>
    <t>Sprint 1</t>
  </si>
  <si>
    <t>Sprint 2</t>
  </si>
  <si>
    <t>Sprint 3</t>
  </si>
  <si>
    <t>Sprint 4</t>
  </si>
  <si>
    <t>PgM/SM</t>
  </si>
  <si>
    <t>Ext- onsite</t>
  </si>
  <si>
    <t>Ext - offshore + nearshore</t>
  </si>
  <si>
    <t>QA Lead</t>
  </si>
  <si>
    <t>Why is it important to list assumptions about a project?</t>
  </si>
  <si>
    <r>
      <rPr>
        <b/>
        <sz val="9"/>
        <color theme="4" tint="-0.499984740745262"/>
        <rFont val="Calibri"/>
        <family val="2"/>
        <scheme val="minor"/>
      </rPr>
      <t>Have you considered these Assumptions?:</t>
    </r>
    <r>
      <rPr>
        <sz val="9"/>
        <color theme="4" tint="-0.499984740745262"/>
        <rFont val="Calibri"/>
        <family val="2"/>
        <scheme val="minor"/>
      </rPr>
      <t xml:space="preserve">
- Resource assumptions
- Technology assumptions
- Time-based assumptions
- Quality/specification assumptions
- Cost assumptions
- Local/environmental assumptions</t>
    </r>
  </si>
  <si>
    <r>
      <t>Assumptions play an essential role in developing a risk management plan. As a project manager, you must identify and manage as many of these assumptions as you can </t>
    </r>
    <r>
      <rPr>
        <b/>
        <sz val="9"/>
        <color theme="4" tint="-0.499984740745262"/>
        <rFont val="Calibri"/>
        <family val="2"/>
        <scheme val="minor"/>
      </rPr>
      <t>to increase the probability that your project will be completed successfully</t>
    </r>
    <r>
      <rPr>
        <sz val="9"/>
        <color theme="4" tint="-0.499984740745262"/>
        <rFont val="Calibri"/>
        <family val="2"/>
        <scheme val="minor"/>
      </rPr>
      <t xml:space="preserve">, on time and within budget.
Below 2 methods of calculating contingency against risk &amp; assumptions. 
</t>
    </r>
    <r>
      <rPr>
        <b/>
        <sz val="9"/>
        <color theme="4" tint="-0.499984740745262"/>
        <rFont val="Calibri"/>
        <family val="2"/>
        <scheme val="minor"/>
      </rPr>
      <t xml:space="preserve">Method 1 </t>
    </r>
    <r>
      <rPr>
        <sz val="9"/>
        <color theme="4" tint="-0.499984740745262"/>
        <rFont val="Calibri"/>
        <family val="2"/>
        <scheme val="minor"/>
      </rPr>
      <t xml:space="preserve">- overall fixed percentage based on type/number of assumptions
</t>
    </r>
    <r>
      <rPr>
        <b/>
        <sz val="9"/>
        <color theme="4" tint="-0.499984740745262"/>
        <rFont val="Calibri"/>
        <family val="2"/>
        <scheme val="minor"/>
      </rPr>
      <t xml:space="preserve">Method 2 </t>
    </r>
    <r>
      <rPr>
        <sz val="9"/>
        <color theme="4" tint="-0.499984740745262"/>
        <rFont val="Calibri"/>
        <family val="2"/>
        <scheme val="minor"/>
      </rPr>
      <t xml:space="preserve">- risk items calculated risk, where the risks are clear and probable
</t>
    </r>
  </si>
  <si>
    <r>
      <t xml:space="preserve">Which Method do you choose?
</t>
    </r>
    <r>
      <rPr>
        <b/>
        <i/>
        <sz val="10"/>
        <color rgb="FFFF0000"/>
        <rFont val="Century Gothic"/>
        <family val="2"/>
      </rPr>
      <t>Select from drop down.</t>
    </r>
  </si>
  <si>
    <t>Method 1</t>
  </si>
  <si>
    <t>Calculated Contingency:</t>
  </si>
  <si>
    <t>Method 1:</t>
  </si>
  <si>
    <t>RISKS &amp; ASSUMPTIONS / CONSIDERATIONS FOR ESTIMATION:</t>
  </si>
  <si>
    <t>Enter 
% contingency based on type of assumptions (max 15%)</t>
  </si>
  <si>
    <t>Calculation 
(% of implementation plan)
(AED)</t>
  </si>
  <si>
    <t>X no. of integrations considered for this estimation</t>
  </si>
  <si>
    <t>No Travel requirements have been considered in estimation</t>
  </si>
  <si>
    <t>Availability of the environment in time to start the project</t>
  </si>
  <si>
    <t>Systems not included….</t>
  </si>
  <si>
    <t>Hosting on cloud - actual costs may vary</t>
  </si>
  <si>
    <t>Decommissioning costs of other systems not considered….</t>
  </si>
  <si>
    <t>Method 2:</t>
  </si>
  <si>
    <t>Probability</t>
  </si>
  <si>
    <t>Impact 
(AED)</t>
  </si>
  <si>
    <t>EV
(Probability x Impact)</t>
  </si>
  <si>
    <t>Total Expected Contingency (AED)</t>
  </si>
  <si>
    <t>Estimation Rules/Tips:</t>
  </si>
  <si>
    <t>Consider 70/30 allocation, ie. 70% Offshore and 30% onsite for External resources. Or Otherwise what makes most practical sense for the project but please provide justifications for this in the intro sheet.</t>
  </si>
  <si>
    <t xml:space="preserve">Once estimations completed - please preview checks &amp; validations in the 'Validations' sheet </t>
  </si>
  <si>
    <t>Projects/Discovery Estimations</t>
  </si>
  <si>
    <t>Custom Rate Resources</t>
  </si>
  <si>
    <t>Specify</t>
  </si>
  <si>
    <t>Application Lead/Lead Developer</t>
  </si>
  <si>
    <t>&gt; Consider 70/30 allocation, ie. 70% Offshore and 30% onsite for External resources. Or Otherwise what makes most practical sense for the project but please provide justifications for this in the intro sheet.</t>
  </si>
  <si>
    <t xml:space="preserve">&gt; Once estimations completed - please preview checks &amp; validations in the  'Validations' sheet </t>
  </si>
  <si>
    <t>&gt; Estimate by Feature, and cross check by Sprints.</t>
  </si>
  <si>
    <t>Estimate by Feature:</t>
  </si>
  <si>
    <t>no. of  features:</t>
  </si>
  <si>
    <r>
      <t xml:space="preserve">Enter 
</t>
    </r>
    <r>
      <rPr>
        <b/>
        <sz val="11"/>
        <color theme="1"/>
        <rFont val="Calibri"/>
        <family val="2"/>
        <scheme val="minor"/>
      </rPr>
      <t>Resource Role / Description</t>
    </r>
  </si>
  <si>
    <r>
      <t xml:space="preserve">Select
</t>
    </r>
    <r>
      <rPr>
        <b/>
        <sz val="11"/>
        <color theme="1"/>
        <rFont val="Calibri"/>
        <family val="2"/>
        <scheme val="minor"/>
      </rPr>
      <t>Chapter they belong to :</t>
    </r>
  </si>
  <si>
    <r>
      <t xml:space="preserve">Select
</t>
    </r>
    <r>
      <rPr>
        <b/>
        <sz val="11"/>
        <color theme="1"/>
        <rFont val="Calibri"/>
        <family val="2"/>
        <scheme val="minor"/>
      </rPr>
      <t>Role Type they belong to:</t>
    </r>
  </si>
  <si>
    <r>
      <t xml:space="preserve">Select
</t>
    </r>
    <r>
      <rPr>
        <b/>
        <sz val="11"/>
        <color theme="1"/>
        <rFont val="Calibri"/>
        <family val="2"/>
        <scheme val="minor"/>
      </rPr>
      <t>Internal/External</t>
    </r>
  </si>
  <si>
    <t>Feature 1</t>
  </si>
  <si>
    <t>Feature 2</t>
  </si>
  <si>
    <t>Feature 3</t>
  </si>
  <si>
    <t>Feature 4</t>
  </si>
  <si>
    <t>Feature 5</t>
  </si>
  <si>
    <t>Feature 6</t>
  </si>
  <si>
    <t>Feature 7</t>
  </si>
  <si>
    <t>Feature 8</t>
  </si>
  <si>
    <t>Feature 9</t>
  </si>
  <si>
    <t>Feature 10</t>
  </si>
  <si>
    <t>Feature 11</t>
  </si>
  <si>
    <t>Feature 12</t>
  </si>
  <si>
    <t>Project Manager</t>
  </si>
  <si>
    <r>
      <t xml:space="preserve">Estimate by Sprint (Total EIT Labor Cost)
</t>
    </r>
    <r>
      <rPr>
        <i/>
        <sz val="14"/>
        <color rgb="FFFF0000"/>
        <rFont val="Calibri"/>
        <family val="2"/>
        <scheme val="minor"/>
      </rPr>
      <t>This value will be taken into Summary sheet.</t>
    </r>
  </si>
  <si>
    <t>no. of Sprints:</t>
  </si>
  <si>
    <t>Planned releases:</t>
  </si>
  <si>
    <t>f1,f3,f6</t>
  </si>
  <si>
    <t>f2,f4,f5</t>
  </si>
  <si>
    <t>f7,f8,f9,f10</t>
  </si>
  <si>
    <t>Sprint 5</t>
  </si>
  <si>
    <t>Sprint 6</t>
  </si>
  <si>
    <t>Sprint 7</t>
  </si>
  <si>
    <t>Sprint 8</t>
  </si>
  <si>
    <t>Sprint 9</t>
  </si>
  <si>
    <t>Sprint 10</t>
  </si>
  <si>
    <t>Sprint 11</t>
  </si>
  <si>
    <t>Sprint 12</t>
  </si>
  <si>
    <t xml:space="preserve">Principal Engineer/Solution Architect </t>
  </si>
  <si>
    <t>IMPLEMENTATION - OTHERS</t>
  </si>
  <si>
    <t xml:space="preserve">add 1 </t>
  </si>
  <si>
    <t>add2</t>
  </si>
  <si>
    <t>IMPLEMENTATION - TRAVEL &amp; ACCOMODATION</t>
  </si>
  <si>
    <t>SOFTWARE / HOSTING / HARDWARE</t>
  </si>
  <si>
    <t>EIT Incremental Support - Please enter values for current EIT run costs and proposed run costs YoY based on the required EIT resources.</t>
  </si>
  <si>
    <t>1. Current EIT Support Cost (EIT Labour Cost)</t>
  </si>
  <si>
    <t>2. Proposed EIT Run Cost (EIT Labour Cost)</t>
  </si>
  <si>
    <t>INCREMENTAL SUPPORT - EIT Labour Cost  (DELTA OF CURRENT EIT RUN COST  -  PROPOSED EIT RUN COST)</t>
  </si>
  <si>
    <t>SUMMARY OF OTHER RUN COSTS</t>
  </si>
  <si>
    <t>CURRENT RUN COSTS / EXISTING COSTS</t>
  </si>
  <si>
    <t>&lt;Software ABC&gt;</t>
  </si>
  <si>
    <t>&lt;Software XYZ&gt;</t>
  </si>
  <si>
    <t>&lt;Clound Hosting &amp; Subscription&gt;</t>
  </si>
  <si>
    <t>IMPLEMENTATION / SUPPORT</t>
  </si>
  <si>
    <t>&lt;Internal Support&gt;</t>
  </si>
  <si>
    <t>Managed Services /Third Party</t>
  </si>
  <si>
    <t xml:space="preserve">PROPOSED RECURRING RUN COSTS </t>
  </si>
  <si>
    <t>NET DELTA / INCREMENTAL RUN COSTS (Proposed - Current)</t>
  </si>
  <si>
    <t>Total Incremental (AED)</t>
  </si>
  <si>
    <t xml:space="preserve">TVO Summary </t>
  </si>
  <si>
    <t>Revenue Generated</t>
  </si>
  <si>
    <t>Cost Reduction</t>
  </si>
  <si>
    <t>Cost Avoidance</t>
  </si>
  <si>
    <t xml:space="preserve">Total Incoming:   </t>
  </si>
  <si>
    <t>RECURRENT CASHFLOW</t>
  </si>
  <si>
    <t>Check Estimation Validations.
This sheet is put in place to help you assess whether your costs are within a standard range for PPM Governance &amp; External resourcing.</t>
  </si>
  <si>
    <t>PROJECT COST SUMMARY</t>
  </si>
  <si>
    <t>Waterfall</t>
  </si>
  <si>
    <t>Agile</t>
  </si>
  <si>
    <t>Total Project Cost (CAPEX)</t>
  </si>
  <si>
    <t>Project Manager/ Scrum Master &amp; PgM</t>
  </si>
  <si>
    <t>Internal Resources</t>
  </si>
  <si>
    <t>External Resources</t>
  </si>
  <si>
    <t>Onsite Resources</t>
  </si>
  <si>
    <t>Offshore Resources (Nearshore+Offshore)</t>
  </si>
  <si>
    <t>Type of Project:</t>
  </si>
  <si>
    <t>Total Project Cost (CAPEX):</t>
  </si>
  <si>
    <t>Total Implementation Cost:</t>
  </si>
  <si>
    <t>Management and Coordination Cost:
PM + Scrum Master</t>
  </si>
  <si>
    <t>Total Value (AED)</t>
  </si>
  <si>
    <t>Measurement</t>
  </si>
  <si>
    <t>Total Value %</t>
  </si>
  <si>
    <t>Message</t>
  </si>
  <si>
    <r>
      <rPr>
        <b/>
        <sz val="12"/>
        <rFont val="Century Gothic"/>
        <family val="2"/>
      </rPr>
      <t>Management and Coordination Cost:</t>
    </r>
    <r>
      <rPr>
        <sz val="12"/>
        <rFont val="Century Gothic"/>
        <family val="2"/>
      </rPr>
      <t xml:space="preserve">
</t>
    </r>
    <r>
      <rPr>
        <sz val="12"/>
        <color rgb="FFFF0000"/>
        <rFont val="Century Gothic"/>
        <family val="2"/>
      </rPr>
      <t>PM + SM</t>
    </r>
  </si>
  <si>
    <t>15 % Against total project cost</t>
  </si>
  <si>
    <t>Allocation Validations</t>
  </si>
  <si>
    <r>
      <rPr>
        <b/>
        <sz val="12"/>
        <rFont val="Century Gothic"/>
        <family val="2"/>
      </rPr>
      <t>Offshore vs. Onsite:</t>
    </r>
    <r>
      <rPr>
        <sz val="12"/>
        <rFont val="Century Gothic"/>
        <family val="2"/>
      </rPr>
      <t xml:space="preserve">
</t>
    </r>
    <r>
      <rPr>
        <sz val="12"/>
        <color rgb="FFFF0000"/>
        <rFont val="Century Gothic"/>
        <family val="2"/>
      </rPr>
      <t>Onsite</t>
    </r>
  </si>
  <si>
    <r>
      <t xml:space="preserve">70/30 ratio 
70% = offshore/near-shore
</t>
    </r>
    <r>
      <rPr>
        <b/>
        <sz val="10"/>
        <rFont val="Calibri"/>
        <family val="2"/>
        <scheme val="minor"/>
      </rPr>
      <t>30% = onsite</t>
    </r>
    <r>
      <rPr>
        <sz val="10"/>
        <rFont val="Calibri"/>
        <family val="2"/>
        <scheme val="minor"/>
      </rPr>
      <t xml:space="preserve">
Against Implementation Cost (EIT Labour only).</t>
    </r>
  </si>
  <si>
    <t>This sheet is provided for your guidance on the 'Role Types':</t>
  </si>
  <si>
    <t xml:space="preserve">Version </t>
  </si>
  <si>
    <t>History Description</t>
  </si>
  <si>
    <t>Modified By</t>
  </si>
  <si>
    <t>Modified Date</t>
  </si>
  <si>
    <t>Final Version</t>
  </si>
  <si>
    <t>Sahar Mohammad</t>
  </si>
  <si>
    <t xml:space="preserve">Rate update for PM/SM External - Offsite </t>
  </si>
  <si>
    <t>Denice Ebba</t>
  </si>
  <si>
    <t xml:space="preserve">Rate update for Test Engineer (SIT/UAT/Smoke/Performance) - Internal </t>
  </si>
  <si>
    <t>Template and Rate Update</t>
  </si>
  <si>
    <t>Akanksha Tiwari</t>
  </si>
  <si>
    <t>hidden sheet</t>
  </si>
  <si>
    <t>Is this an Agile or Waterfall Delivery?</t>
  </si>
  <si>
    <t xml:space="preserve">Contingency Method </t>
  </si>
  <si>
    <t>Method 2</t>
  </si>
  <si>
    <t>Roles</t>
  </si>
  <si>
    <t>Automation Engineer</t>
  </si>
  <si>
    <t>abap developer</t>
  </si>
  <si>
    <t>basis engg</t>
  </si>
  <si>
    <t>Finance</t>
  </si>
  <si>
    <t>BPC</t>
  </si>
  <si>
    <t>Chapters</t>
  </si>
  <si>
    <t>Data Engineering</t>
  </si>
  <si>
    <t>Cybersecurity</t>
  </si>
  <si>
    <t>Cyber-Security Specialist</t>
  </si>
  <si>
    <t>Additional 2</t>
  </si>
  <si>
    <t>Service Engineer</t>
  </si>
  <si>
    <t xml:space="preserve">Additional 3 </t>
  </si>
  <si>
    <t>Sr. Solution Expert - ITSM</t>
  </si>
  <si>
    <t>Data Center</t>
  </si>
  <si>
    <t>QA Manager</t>
  </si>
  <si>
    <t xml:space="preserve">PMO- OE </t>
  </si>
  <si>
    <t>Ent. Architecture</t>
  </si>
  <si>
    <t>Additional 7</t>
  </si>
  <si>
    <t>CYBERSECURITY</t>
  </si>
  <si>
    <t>Additional 8</t>
  </si>
  <si>
    <t>Delivery and PPM</t>
  </si>
  <si>
    <t>Additional 9</t>
  </si>
  <si>
    <t>Additional 10</t>
  </si>
  <si>
    <t>Procurement &amp; Admin</t>
  </si>
  <si>
    <t>Role Types</t>
  </si>
  <si>
    <t xml:space="preserve">Data Engineering </t>
  </si>
  <si>
    <t>Data Engineers</t>
  </si>
  <si>
    <t>Resource Type</t>
  </si>
  <si>
    <t>Travel_ACC</t>
  </si>
  <si>
    <t>Air Fare Business</t>
  </si>
  <si>
    <t>Mitchelle</t>
  </si>
  <si>
    <t>High level totals added to Capex and Opex for waterfall and Agile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</si>
</sst>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_);_(* \(#,##0.00\);_(* &quot;-&quot;??_);_(@_)"/>
    <numFmt numFmtId="165" formatCode="[$AED]\ #,##0.00"/>
    <numFmt numFmtId="166" formatCode="[$-409]dd\-mmm\-yy;@"/>
    <numFmt numFmtId="167" formatCode="_(* #,##0_);_(* \(#,##0\);_(* &quot;-&quot;??_);_(@_)"/>
  </numFmts>
  <fonts count="82" x14ac:knownFonts="1">
    <font>
      <sz val="11"/>
      <color theme="1"/>
      <name val="Calibri"/>
      <family val="2"/>
      <scheme val="minor"/>
    </font>
    <font>
      <b/>
      <sz val="9"/>
      <color theme="1"/>
      <name val="Calibri"/>
      <family val="2"/>
      <scheme val="minor"/>
    </font>
    <font>
      <b/>
      <sz val="8"/>
      <color theme="1"/>
      <name val="Calibri"/>
      <family val="2"/>
      <scheme val="minor"/>
    </font>
    <font>
      <sz val="8"/>
      <color theme="1"/>
      <name val="Calibri"/>
      <family val="2"/>
      <scheme val="minor"/>
    </font>
    <font>
      <sz val="9"/>
      <color theme="1"/>
      <name val="Calibri"/>
      <family val="2"/>
      <scheme val="minor"/>
    </font>
    <font>
      <b/>
      <sz val="11"/>
      <color theme="9" tint="-0.499984740745262"/>
      <name val="Calibri"/>
      <family val="2"/>
      <scheme val="minor"/>
    </font>
    <font>
      <sz val="8"/>
      <name val="Calibri"/>
      <family val="2"/>
      <scheme val="minor"/>
    </font>
    <font>
      <b/>
      <i/>
      <sz val="11"/>
      <color theme="1"/>
      <name val="Calibri"/>
      <family val="2"/>
      <scheme val="minor"/>
    </font>
    <font>
      <b/>
      <sz val="14"/>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b/>
      <sz val="9"/>
      <color indexed="81"/>
      <name val="Tahoma"/>
      <family val="2"/>
    </font>
    <font>
      <sz val="9"/>
      <color indexed="81"/>
      <name val="Tahoma"/>
      <family val="2"/>
    </font>
    <font>
      <sz val="12"/>
      <color theme="1"/>
      <name val="Century Gothic"/>
      <family val="2"/>
    </font>
    <font>
      <b/>
      <sz val="12"/>
      <color theme="1"/>
      <name val="Century Gothic"/>
      <family val="2"/>
    </font>
    <font>
      <b/>
      <sz val="12"/>
      <name val="Century Gothic"/>
      <family val="2"/>
    </font>
    <font>
      <sz val="12"/>
      <name val="Century Gothic"/>
      <family val="2"/>
    </font>
    <font>
      <sz val="11"/>
      <color theme="1"/>
      <name val="Century Gothic"/>
      <family val="2"/>
    </font>
    <font>
      <b/>
      <sz val="12"/>
      <color theme="4" tint="-0.499984740745262"/>
      <name val="Century Gothic"/>
      <family val="2"/>
    </font>
    <font>
      <sz val="11"/>
      <color rgb="FFFF0000"/>
      <name val="Calibri"/>
      <family val="2"/>
      <scheme val="minor"/>
    </font>
    <font>
      <sz val="10"/>
      <color theme="1"/>
      <name val="Calibri"/>
      <family val="2"/>
      <scheme val="minor"/>
    </font>
    <font>
      <b/>
      <sz val="10"/>
      <color theme="1"/>
      <name val="Calibri"/>
      <family val="2"/>
      <scheme val="minor"/>
    </font>
    <font>
      <sz val="10"/>
      <name val="Calibri"/>
      <family val="2"/>
      <scheme val="minor"/>
    </font>
    <font>
      <b/>
      <sz val="11"/>
      <color rgb="FFFF0000"/>
      <name val="Calibri"/>
      <family val="2"/>
      <scheme val="minor"/>
    </font>
    <font>
      <sz val="12"/>
      <color theme="1"/>
      <name val="Calibri"/>
      <family val="2"/>
      <scheme val="minor"/>
    </font>
    <font>
      <sz val="11"/>
      <color theme="9" tint="-0.499984740745262"/>
      <name val="Calibri"/>
      <family val="2"/>
      <scheme val="minor"/>
    </font>
    <font>
      <b/>
      <u val="double"/>
      <sz val="12"/>
      <color theme="1"/>
      <name val="Calibri"/>
      <family val="2"/>
      <scheme val="minor"/>
    </font>
    <font>
      <b/>
      <i/>
      <sz val="12"/>
      <color theme="1"/>
      <name val="Calibri"/>
      <family val="2"/>
      <scheme val="minor"/>
    </font>
    <font>
      <b/>
      <sz val="11"/>
      <name val="Calibri"/>
      <family val="2"/>
      <scheme val="minor"/>
    </font>
    <font>
      <b/>
      <sz val="9"/>
      <name val="Calibri"/>
      <family val="2"/>
      <scheme val="minor"/>
    </font>
    <font>
      <sz val="14"/>
      <color theme="1"/>
      <name val="Century Gothic"/>
      <family val="2"/>
    </font>
    <font>
      <i/>
      <sz val="10"/>
      <color theme="9" tint="-0.499984740745262"/>
      <name val="Calibri"/>
      <family val="2"/>
      <scheme val="minor"/>
    </font>
    <font>
      <i/>
      <sz val="11"/>
      <color theme="1"/>
      <name val="Calibri"/>
      <family val="2"/>
      <scheme val="minor"/>
    </font>
    <font>
      <sz val="11"/>
      <color theme="1" tint="0.249977111117893"/>
      <name val="Calibri"/>
      <family val="2"/>
      <scheme val="minor"/>
    </font>
    <font>
      <sz val="8"/>
      <color theme="1" tint="0.249977111117893"/>
      <name val="Calibri"/>
      <family val="2"/>
      <scheme val="minor"/>
    </font>
    <font>
      <sz val="11"/>
      <name val="Calibri"/>
      <family val="2"/>
      <scheme val="minor"/>
    </font>
    <font>
      <sz val="12"/>
      <color rgb="FFFF0000"/>
      <name val="Century Gothic"/>
      <family val="2"/>
    </font>
    <font>
      <b/>
      <sz val="11"/>
      <color theme="4" tint="-0.499984740745262"/>
      <name val="Calibri"/>
      <family val="2"/>
      <scheme val="minor"/>
    </font>
    <font>
      <b/>
      <sz val="11"/>
      <color theme="1"/>
      <name val="Century Gothic"/>
      <family val="2"/>
    </font>
    <font>
      <b/>
      <sz val="10"/>
      <color theme="1"/>
      <name val="Century Gothic"/>
      <family val="2"/>
    </font>
    <font>
      <b/>
      <sz val="9"/>
      <color theme="1"/>
      <name val="Century Gothic"/>
      <family val="2"/>
    </font>
    <font>
      <b/>
      <sz val="8"/>
      <color theme="1"/>
      <name val="Century Gothic"/>
      <family val="2"/>
    </font>
    <font>
      <sz val="11"/>
      <color rgb="FF9C5700"/>
      <name val="Calibri"/>
      <family val="2"/>
      <scheme val="minor"/>
    </font>
    <font>
      <sz val="11"/>
      <color rgb="FF000000"/>
      <name val="Calibri"/>
      <family val="2"/>
      <scheme val="minor"/>
    </font>
    <font>
      <b/>
      <sz val="11"/>
      <color rgb="FF000000"/>
      <name val="Calibri"/>
      <family val="2"/>
      <scheme val="minor"/>
    </font>
    <font>
      <b/>
      <sz val="12"/>
      <color rgb="FF000099"/>
      <name val="Calibri"/>
      <family val="2"/>
      <scheme val="minor"/>
    </font>
    <font>
      <b/>
      <i/>
      <sz val="10"/>
      <color rgb="FFFF0000"/>
      <name val="Century Gothic"/>
      <family val="2"/>
    </font>
    <font>
      <b/>
      <sz val="12"/>
      <color rgb="FF002060"/>
      <name val="Calibri"/>
      <family val="2"/>
      <scheme val="minor"/>
    </font>
    <font>
      <b/>
      <sz val="11"/>
      <color rgb="FF002060"/>
      <name val="Calibri"/>
      <family val="2"/>
      <scheme val="minor"/>
    </font>
    <font>
      <b/>
      <sz val="9"/>
      <color theme="4" tint="-0.499984740745262"/>
      <name val="Calibri"/>
      <family val="2"/>
      <scheme val="minor"/>
    </font>
    <font>
      <sz val="9"/>
      <color theme="4" tint="-0.499984740745262"/>
      <name val="Calibri"/>
      <family val="2"/>
      <scheme val="minor"/>
    </font>
    <font>
      <sz val="12"/>
      <name val="Calibri"/>
      <family val="2"/>
      <scheme val="minor"/>
    </font>
    <font>
      <b/>
      <sz val="12"/>
      <name val="Calibri"/>
      <family val="2"/>
      <scheme val="minor"/>
    </font>
    <font>
      <b/>
      <i/>
      <sz val="10"/>
      <color rgb="FFFF0000"/>
      <name val="Calibri"/>
      <family val="2"/>
      <scheme val="minor"/>
    </font>
    <font>
      <b/>
      <sz val="10"/>
      <color theme="4" tint="-0.499984740745262"/>
      <name val="Century Gothic"/>
      <family val="2"/>
    </font>
    <font>
      <i/>
      <sz val="12"/>
      <color theme="1"/>
      <name val="Calibri"/>
      <family val="2"/>
      <scheme val="minor"/>
    </font>
    <font>
      <i/>
      <sz val="14"/>
      <color rgb="FFFF0000"/>
      <name val="Calibri"/>
      <family val="2"/>
      <scheme val="minor"/>
    </font>
    <font>
      <b/>
      <sz val="10"/>
      <name val="Calibri"/>
      <family val="2"/>
      <scheme val="minor"/>
    </font>
    <font>
      <b/>
      <sz val="14"/>
      <color theme="1"/>
      <name val="Calibri"/>
      <family val="2"/>
      <scheme val="minor"/>
    </font>
    <font>
      <i/>
      <sz val="12"/>
      <name val="Calibri"/>
      <family val="2"/>
      <scheme val="minor"/>
    </font>
    <font>
      <b/>
      <i/>
      <sz val="11"/>
      <name val="Calibri"/>
      <family val="2"/>
      <scheme val="minor"/>
    </font>
    <font>
      <sz val="12"/>
      <color theme="4" tint="-0.499984740745262"/>
      <name val="Calibri"/>
      <family val="2"/>
      <scheme val="minor"/>
    </font>
    <font>
      <sz val="11"/>
      <color theme="4" tint="-0.499984740745262"/>
      <name val="Calibri"/>
      <family val="2"/>
      <scheme val="minor"/>
    </font>
    <font>
      <sz val="12"/>
      <color rgb="FF000099"/>
      <name val="Calibri"/>
      <family val="2"/>
      <scheme val="minor"/>
    </font>
    <font>
      <sz val="12"/>
      <color rgb="FF002060"/>
      <name val="Calibri"/>
      <family val="2"/>
      <scheme val="minor"/>
    </font>
    <font>
      <sz val="11"/>
      <color rgb="FF002060"/>
      <name val="Calibri"/>
      <family val="2"/>
      <scheme val="minor"/>
    </font>
    <font>
      <b/>
      <u val="double"/>
      <sz val="12"/>
      <name val="Calibri"/>
      <family val="2"/>
      <scheme val="minor"/>
    </font>
    <font>
      <sz val="14"/>
      <name val="Calibri"/>
      <family val="2"/>
      <scheme val="minor"/>
    </font>
    <font>
      <sz val="11"/>
      <color theme="1"/>
      <name val="Calibri"/>
      <family val="2"/>
    </font>
    <font>
      <b/>
      <sz val="16"/>
      <name val="Calibri"/>
      <family val="2"/>
      <scheme val="minor"/>
    </font>
    <font>
      <b/>
      <i/>
      <sz val="11"/>
      <color theme="0" tint="-0.499984740745262"/>
      <name val="Calibri"/>
      <family val="2"/>
      <scheme val="minor"/>
    </font>
    <font>
      <sz val="12"/>
      <color theme="0" tint="-0.499984740745262"/>
      <name val="Calibri"/>
      <family val="2"/>
      <scheme val="minor"/>
    </font>
    <font>
      <sz val="11"/>
      <color theme="0"/>
      <name val="Calibri"/>
      <family val="2"/>
      <scheme val="minor"/>
    </font>
    <font>
      <b/>
      <sz val="14"/>
      <color theme="0"/>
      <name val="Calibri"/>
      <family val="2"/>
      <scheme val="minor"/>
    </font>
    <font>
      <b/>
      <sz val="14"/>
      <color theme="0"/>
      <name val="DM Sans"/>
    </font>
    <font>
      <sz val="9"/>
      <color theme="1" tint="0.34998626667073579"/>
      <name val="Calibri"/>
      <family val="2"/>
      <scheme val="minor"/>
    </font>
    <font>
      <sz val="9"/>
      <color theme="1" tint="4.9989318521683403E-2"/>
      <name val="Calibri"/>
      <family val="2"/>
      <scheme val="minor"/>
    </font>
    <font>
      <i/>
      <sz val="10"/>
      <color theme="1" tint="0.34998626667073579"/>
      <name val="Calibri"/>
      <family val="2"/>
      <scheme val="minor"/>
    </font>
    <font>
      <b/>
      <sz val="16"/>
      <color theme="0"/>
      <name val="Calibri"/>
      <family val="2"/>
      <scheme val="minor"/>
    </font>
    <font>
      <b/>
      <sz val="15"/>
      <color theme="0"/>
      <name val="Calibri"/>
      <family val="2"/>
      <scheme val="minor"/>
    </font>
    <font>
      <sz val="9"/>
      <color theme="0" tint="-0.499984740745262"/>
      <name val="Calibri"/>
      <family val="2"/>
      <scheme val="minor"/>
    </font>
  </fonts>
  <fills count="26">
    <fill>
      <patternFill patternType="none"/>
    </fill>
    <fill>
      <patternFill patternType="gray125"/>
    </fill>
    <fill>
      <patternFill patternType="solid">
        <fgColor theme="9" tint="0.59999389629810485"/>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1" tint="0.34998626667073579"/>
        <bgColor indexed="64"/>
      </patternFill>
    </fill>
    <fill>
      <patternFill patternType="solid">
        <fgColor theme="0"/>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6" tint="0.79998168889431442"/>
        <bgColor indexed="64"/>
      </patternFill>
    </fill>
    <fill>
      <patternFill patternType="solid">
        <fgColor theme="8" tint="0.39997558519241921"/>
        <bgColor indexed="64"/>
      </patternFill>
    </fill>
    <fill>
      <patternFill patternType="solid">
        <fgColor rgb="FFEDF9FD"/>
        <bgColor indexed="64"/>
      </patternFill>
    </fill>
    <fill>
      <patternFill patternType="solid">
        <fgColor rgb="FFFFEB9C"/>
      </patternFill>
    </fill>
    <fill>
      <patternFill patternType="solid">
        <fgColor theme="0" tint="-0.49998474074526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CCECF8"/>
        <bgColor indexed="64"/>
      </patternFill>
    </fill>
    <fill>
      <patternFill patternType="solid">
        <fgColor theme="4"/>
        <bgColor indexed="64"/>
      </patternFill>
    </fill>
    <fill>
      <patternFill patternType="solid">
        <fgColor theme="8" tint="0.79998168889431442"/>
        <bgColor indexed="64"/>
      </patternFill>
    </fill>
    <fill>
      <patternFill patternType="solid">
        <fgColor rgb="FF7030A0"/>
        <bgColor indexed="64"/>
      </patternFill>
    </fill>
    <fill>
      <patternFill patternType="solid">
        <fgColor rgb="FF0070C0"/>
        <bgColor indexed="64"/>
      </patternFill>
    </fill>
  </fills>
  <borders count="132">
    <border>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style="thin">
        <color indexed="64"/>
      </bottom>
      <diagonal/>
    </border>
    <border>
      <left/>
      <right/>
      <top style="thin">
        <color indexed="64"/>
      </top>
      <bottom style="double">
        <color indexed="64"/>
      </bottom>
      <diagonal/>
    </border>
    <border>
      <left style="thin">
        <color theme="0" tint="-0.249977111117893"/>
      </left>
      <right style="thin">
        <color theme="0" tint="-0.249977111117893"/>
      </right>
      <top style="thin">
        <color indexed="64"/>
      </top>
      <bottom style="double">
        <color indexed="64"/>
      </bottom>
      <diagonal/>
    </border>
    <border>
      <left style="thin">
        <color theme="0" tint="-0.249977111117893"/>
      </left>
      <right style="thin">
        <color theme="0" tint="-0.249977111117893"/>
      </right>
      <top/>
      <bottom style="thin">
        <color indexed="64"/>
      </bottom>
      <diagonal/>
    </border>
    <border>
      <left/>
      <right style="thin">
        <color theme="4"/>
      </right>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bottom/>
      <diagonal/>
    </border>
    <border>
      <left style="thin">
        <color theme="0" tint="-0.249977111117893"/>
      </left>
      <right/>
      <top/>
      <bottom/>
      <diagonal/>
    </border>
    <border>
      <left style="hair">
        <color theme="1" tint="0.499984740745262"/>
      </left>
      <right style="hair">
        <color theme="1" tint="0.499984740745262"/>
      </right>
      <top style="hair">
        <color theme="1" tint="0.499984740745262"/>
      </top>
      <bottom style="hair">
        <color theme="1" tint="0.499984740745262"/>
      </bottom>
      <diagonal/>
    </border>
    <border>
      <left style="thin">
        <color indexed="64"/>
      </left>
      <right style="thin">
        <color indexed="64"/>
      </right>
      <top/>
      <bottom style="hair">
        <color theme="1" tint="0.499984740745262"/>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theme="0" tint="-0.14996795556505021"/>
      </right>
      <top style="thin">
        <color theme="0" tint="-0.14996795556505021"/>
      </top>
      <bottom style="thin">
        <color theme="0" tint="-0.14996795556505021"/>
      </bottom>
      <diagonal/>
    </border>
    <border>
      <left style="thin">
        <color indexed="64"/>
      </left>
      <right/>
      <top style="thin">
        <color theme="0" tint="-0.14996795556505021"/>
      </top>
      <bottom style="thin">
        <color theme="0" tint="-0.14996795556505021"/>
      </bottom>
      <diagonal/>
    </border>
    <border>
      <left/>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theme="0" tint="-0.14993743705557422"/>
      </left>
      <right/>
      <top style="thin">
        <color theme="0" tint="-0.14993743705557422"/>
      </top>
      <bottom style="thin">
        <color theme="0" tint="-0.14993743705557422"/>
      </bottom>
      <diagonal/>
    </border>
    <border>
      <left/>
      <right/>
      <top style="hair">
        <color theme="1" tint="0.499984740745262"/>
      </top>
      <bottom/>
      <diagonal/>
    </border>
    <border>
      <left style="thin">
        <color indexed="64"/>
      </left>
      <right style="thin">
        <color theme="0" tint="-0.14993743705557422"/>
      </right>
      <top style="thin">
        <color indexed="64"/>
      </top>
      <bottom style="thin">
        <color theme="0" tint="-0.14993743705557422"/>
      </bottom>
      <diagonal/>
    </border>
    <border>
      <left style="thin">
        <color theme="0" tint="-0.249977111117893"/>
      </left>
      <right style="thin">
        <color theme="0" tint="-0.249977111117893"/>
      </right>
      <top style="thin">
        <color indexed="64"/>
      </top>
      <bottom style="thin">
        <color theme="0" tint="-0.249977111117893"/>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249977111117893"/>
      </left>
      <right style="thin">
        <color indexed="64"/>
      </right>
      <top/>
      <bottom style="thin">
        <color theme="0" tint="-0.249977111117893"/>
      </bottom>
      <diagonal/>
    </border>
    <border>
      <left style="thin">
        <color theme="0" tint="-0.249977111117893"/>
      </left>
      <right style="thin">
        <color indexed="64"/>
      </right>
      <top/>
      <bottom style="thin">
        <color indexed="64"/>
      </bottom>
      <diagonal/>
    </border>
    <border>
      <left/>
      <right style="thin">
        <color indexed="64"/>
      </right>
      <top style="thin">
        <color indexed="64"/>
      </top>
      <bottom style="thin">
        <color indexed="64"/>
      </bottom>
      <diagonal/>
    </border>
    <border>
      <left style="thin">
        <color theme="4"/>
      </left>
      <right style="thin">
        <color theme="4"/>
      </right>
      <top style="thin">
        <color theme="4"/>
      </top>
      <bottom/>
      <diagonal/>
    </border>
    <border>
      <left style="thin">
        <color theme="4"/>
      </left>
      <right style="thin">
        <color indexed="64"/>
      </right>
      <top style="thin">
        <color theme="4"/>
      </top>
      <bottom/>
      <diagonal/>
    </border>
    <border>
      <left style="thin">
        <color indexed="64"/>
      </left>
      <right style="thin">
        <color theme="0" tint="-0.14993743705557422"/>
      </right>
      <top/>
      <bottom style="thin">
        <color theme="0" tint="-0.14993743705557422"/>
      </bottom>
      <diagonal/>
    </border>
    <border>
      <left style="thin">
        <color indexed="64"/>
      </left>
      <right style="thin">
        <color theme="1"/>
      </right>
      <top style="thin">
        <color indexed="64"/>
      </top>
      <bottom style="thin">
        <color theme="1"/>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1"/>
      </right>
      <top style="thin">
        <color theme="1"/>
      </top>
      <bottom style="thin">
        <color theme="1"/>
      </bottom>
      <diagonal/>
    </border>
    <border>
      <left style="thin">
        <color indexed="64"/>
      </left>
      <right style="thin">
        <color theme="1"/>
      </right>
      <top style="thin">
        <color theme="1"/>
      </top>
      <bottom style="thin">
        <color indexed="64"/>
      </bottom>
      <diagonal/>
    </border>
    <border>
      <left/>
      <right/>
      <top/>
      <bottom style="hair">
        <color theme="1" tint="0.499984740745262"/>
      </bottom>
      <diagonal/>
    </border>
    <border>
      <left style="hair">
        <color theme="1" tint="0.499984740745262"/>
      </left>
      <right style="hair">
        <color theme="1" tint="0.499984740745262"/>
      </right>
      <top/>
      <bottom style="hair">
        <color theme="1" tint="0.499984740745262"/>
      </bottom>
      <diagonal/>
    </border>
    <border>
      <left style="thin">
        <color theme="4" tint="0.39997558519241921"/>
      </left>
      <right style="thin">
        <color theme="4" tint="0.39997558519241921"/>
      </right>
      <top/>
      <bottom style="thin">
        <color theme="4" tint="0.39997558519241921"/>
      </bottom>
      <diagonal/>
    </border>
    <border>
      <left style="thin">
        <color indexed="64"/>
      </left>
      <right/>
      <top/>
      <bottom style="thin">
        <color indexed="64"/>
      </bottom>
      <diagonal/>
    </border>
    <border>
      <left/>
      <right style="hair">
        <color theme="1" tint="0.499984740745262"/>
      </right>
      <top/>
      <bottom style="hair">
        <color theme="1" tint="0.499984740745262"/>
      </bottom>
      <diagonal/>
    </border>
    <border>
      <left/>
      <right style="thin">
        <color indexed="64"/>
      </right>
      <top style="hair">
        <color theme="1" tint="0.499984740745262"/>
      </top>
      <bottom style="hair">
        <color theme="1" tint="0.499984740745262"/>
      </bottom>
      <diagonal/>
    </border>
    <border>
      <left/>
      <right style="thin">
        <color indexed="64"/>
      </right>
      <top/>
      <bottom style="hair">
        <color theme="1" tint="0.499984740745262"/>
      </bottom>
      <diagonal/>
    </border>
    <border>
      <left style="thin">
        <color indexed="64"/>
      </left>
      <right style="hair">
        <color indexed="64"/>
      </right>
      <top/>
      <bottom/>
      <diagonal/>
    </border>
    <border>
      <left style="hair">
        <color indexed="64"/>
      </left>
      <right style="thin">
        <color indexed="64"/>
      </right>
      <top/>
      <bottom style="hair">
        <color theme="1" tint="0.499984740745262"/>
      </bottom>
      <diagonal/>
    </border>
    <border>
      <left style="hair">
        <color indexed="64"/>
      </left>
      <right style="thin">
        <color indexed="64"/>
      </right>
      <top/>
      <bottom/>
      <diagonal/>
    </border>
    <border>
      <left/>
      <right style="thin">
        <color indexed="64"/>
      </right>
      <top/>
      <bottom style="medium">
        <color indexed="64"/>
      </bottom>
      <diagonal/>
    </border>
    <border>
      <left/>
      <right/>
      <top style="hair">
        <color theme="1" tint="0.499984740745262"/>
      </top>
      <bottom style="medium">
        <color indexed="64"/>
      </bottom>
      <diagonal/>
    </border>
    <border>
      <left/>
      <right/>
      <top/>
      <bottom style="medium">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theme="0" tint="-0.14993743705557422"/>
      </top>
      <bottom style="thin">
        <color theme="0" tint="-0.14993743705557422"/>
      </bottom>
      <diagonal/>
    </border>
    <border>
      <left style="thin">
        <color indexed="64"/>
      </left>
      <right/>
      <top style="thin">
        <color theme="0" tint="-0.14993743705557422"/>
      </top>
      <bottom style="thin">
        <color indexed="64"/>
      </bottom>
      <diagonal/>
    </border>
    <border>
      <left style="thin">
        <color indexed="64"/>
      </left>
      <right style="thin">
        <color theme="0" tint="-0.14996795556505021"/>
      </right>
      <top/>
      <bottom style="thin">
        <color theme="0" tint="-0.14996795556505021"/>
      </bottom>
      <diagonal/>
    </border>
    <border>
      <left style="thin">
        <color indexed="64"/>
      </left>
      <right style="thin">
        <color indexed="64"/>
      </right>
      <top style="hair">
        <color theme="1" tint="0.499984740745262"/>
      </top>
      <bottom style="hair">
        <color theme="1" tint="0.499984740745262"/>
      </bottom>
      <diagonal/>
    </border>
    <border>
      <left style="thin">
        <color theme="0" tint="-0.14993743705557422"/>
      </left>
      <right style="thin">
        <color theme="0" tint="-0.14993743705557422"/>
      </right>
      <top/>
      <bottom style="thin">
        <color theme="0" tint="-0.14993743705557422"/>
      </bottom>
      <diagonal/>
    </border>
    <border>
      <left/>
      <right style="thin">
        <color theme="0" tint="-0.249977111117893"/>
      </right>
      <top style="thin">
        <color theme="0" tint="-0.14993743705557422"/>
      </top>
      <bottom style="thin">
        <color theme="0" tint="-0.14993743705557422"/>
      </bottom>
      <diagonal/>
    </border>
    <border>
      <left style="thin">
        <color theme="0" tint="-0.14993743705557422"/>
      </left>
      <right/>
      <top style="thin">
        <color indexed="64"/>
      </top>
      <bottom style="thin">
        <color theme="0" tint="-0.14993743705557422"/>
      </bottom>
      <diagonal/>
    </border>
    <border>
      <left/>
      <right/>
      <top style="thin">
        <color indexed="64"/>
      </top>
      <bottom style="thin">
        <color theme="0" tint="-0.14993743705557422"/>
      </bottom>
      <diagonal/>
    </border>
    <border>
      <left/>
      <right style="thin">
        <color theme="0" tint="-0.14993743705557422"/>
      </right>
      <top style="thin">
        <color indexed="64"/>
      </top>
      <bottom style="thin">
        <color theme="0" tint="-0.14993743705557422"/>
      </bottom>
      <diagonal/>
    </border>
    <border>
      <left style="thin">
        <color theme="0" tint="-0.14993743705557422"/>
      </left>
      <right/>
      <top/>
      <bottom style="thin">
        <color theme="0" tint="-0.14993743705557422"/>
      </bottom>
      <diagonal/>
    </border>
    <border>
      <left/>
      <right/>
      <top/>
      <bottom style="thin">
        <color theme="0" tint="-0.14993743705557422"/>
      </bottom>
      <diagonal/>
    </border>
    <border>
      <left style="thin">
        <color theme="0" tint="-0.249977111117893"/>
      </left>
      <right/>
      <top style="thin">
        <color indexed="64"/>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thin">
        <color theme="0" tint="-0.249977111117893"/>
      </right>
      <top/>
      <bottom style="medium">
        <color indexed="64"/>
      </bottom>
      <diagonal/>
    </border>
    <border>
      <left/>
      <right/>
      <top style="thin">
        <color theme="0" tint="-0.14993743705557422"/>
      </top>
      <bottom style="thin">
        <color theme="0" tint="-0.14993743705557422"/>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style="thin">
        <color theme="0" tint="-0.14993743705557422"/>
      </right>
      <top style="thin">
        <color indexed="64"/>
      </top>
      <bottom style="thin">
        <color theme="0" tint="-0.14993743705557422"/>
      </bottom>
      <diagonal/>
    </border>
    <border>
      <left/>
      <right style="thin">
        <color theme="1" tint="0.499984740745262"/>
      </right>
      <top style="thin">
        <color indexed="64"/>
      </top>
      <bottom/>
      <diagonal/>
    </border>
    <border>
      <left style="thin">
        <color theme="1" tint="0.499984740745262"/>
      </left>
      <right style="thin">
        <color theme="0" tint="-0.14993743705557422"/>
      </right>
      <top style="thin">
        <color theme="0" tint="-0.14993743705557422"/>
      </top>
      <bottom style="thin">
        <color theme="0" tint="-0.14993743705557422"/>
      </bottom>
      <diagonal/>
    </border>
    <border>
      <left/>
      <right style="thin">
        <color theme="1" tint="0.499984740745262"/>
      </right>
      <top/>
      <bottom/>
      <diagonal/>
    </border>
    <border>
      <left style="thin">
        <color theme="1" tint="0.499984740745262"/>
      </left>
      <right style="thin">
        <color theme="4"/>
      </right>
      <top style="thin">
        <color theme="4"/>
      </top>
      <bottom/>
      <diagonal/>
    </border>
    <border>
      <left style="thin">
        <color theme="4"/>
      </left>
      <right style="thin">
        <color theme="1" tint="0.499984740745262"/>
      </right>
      <top style="thin">
        <color theme="4"/>
      </top>
      <bottom/>
      <diagonal/>
    </border>
    <border>
      <left style="thin">
        <color theme="1" tint="0.499984740745262"/>
      </left>
      <right style="thin">
        <color theme="1"/>
      </right>
      <top style="thin">
        <color indexed="64"/>
      </top>
      <bottom style="thin">
        <color theme="1"/>
      </bottom>
      <diagonal/>
    </border>
    <border>
      <left style="thin">
        <color theme="0" tint="-0.249977111117893"/>
      </left>
      <right style="thin">
        <color theme="1" tint="0.499984740745262"/>
      </right>
      <top style="thin">
        <color indexed="64"/>
      </top>
      <bottom style="thin">
        <color theme="0" tint="-0.249977111117893"/>
      </bottom>
      <diagonal/>
    </border>
    <border>
      <left style="thin">
        <color theme="1" tint="0.499984740745262"/>
      </left>
      <right style="thin">
        <color theme="1"/>
      </right>
      <top style="thin">
        <color theme="1"/>
      </top>
      <bottom style="thin">
        <color theme="1"/>
      </bottom>
      <diagonal/>
    </border>
    <border>
      <left style="thin">
        <color theme="1" tint="0.499984740745262"/>
      </left>
      <right style="thin">
        <color theme="1"/>
      </right>
      <top style="thin">
        <color theme="1"/>
      </top>
      <bottom/>
      <diagonal/>
    </border>
    <border>
      <left style="thin">
        <color theme="0" tint="-0.249977111117893"/>
      </left>
      <right style="thin">
        <color theme="1" tint="0.499984740745262"/>
      </right>
      <top style="thin">
        <color indexed="64"/>
      </top>
      <bottom/>
      <diagonal/>
    </border>
    <border>
      <left style="thin">
        <color theme="0" tint="-0.249977111117893"/>
      </left>
      <right style="thin">
        <color theme="1" tint="0.499984740745262"/>
      </right>
      <top/>
      <bottom/>
      <diagonal/>
    </border>
    <border>
      <left style="thin">
        <color theme="1" tint="0.499984740745262"/>
      </left>
      <right style="thin">
        <color theme="0" tint="-0.14993743705557422"/>
      </right>
      <top style="medium">
        <color indexed="64"/>
      </top>
      <bottom style="thin">
        <color theme="0" tint="-0.14993743705557422"/>
      </bottom>
      <diagonal/>
    </border>
    <border>
      <left style="thin">
        <color theme="0" tint="-0.249977111117893"/>
      </left>
      <right style="thin">
        <color theme="1" tint="0.499984740745262"/>
      </right>
      <top style="medium">
        <color indexed="64"/>
      </top>
      <bottom style="thin">
        <color theme="0" tint="-0.249977111117893"/>
      </bottom>
      <diagonal/>
    </border>
    <border>
      <left style="thin">
        <color theme="1" tint="0.499984740745262"/>
      </left>
      <right style="thin">
        <color theme="0" tint="-0.14993743705557422"/>
      </right>
      <top/>
      <bottom style="medium">
        <color indexed="64"/>
      </bottom>
      <diagonal/>
    </border>
    <border>
      <left style="thin">
        <color theme="0" tint="-0.249977111117893"/>
      </left>
      <right style="thin">
        <color theme="1" tint="0.499984740745262"/>
      </right>
      <top/>
      <bottom style="medium">
        <color indexed="64"/>
      </bottom>
      <diagonal/>
    </border>
    <border>
      <left style="thin">
        <color theme="1" tint="0.499984740745262"/>
      </left>
      <right style="thin">
        <color theme="0" tint="-0.14993743705557422"/>
      </right>
      <top/>
      <bottom style="thin">
        <color theme="0" tint="-0.14993743705557422"/>
      </bottom>
      <diagonal/>
    </border>
    <border>
      <left style="thin">
        <color theme="0" tint="-0.249977111117893"/>
      </left>
      <right style="thin">
        <color theme="1" tint="0.499984740745262"/>
      </right>
      <top/>
      <bottom style="thin">
        <color theme="0" tint="-0.249977111117893"/>
      </bottom>
      <diagonal/>
    </border>
    <border>
      <left style="thin">
        <color theme="1" tint="0.499984740745262"/>
      </left>
      <right/>
      <top/>
      <bottom/>
      <diagonal/>
    </border>
    <border>
      <left style="thin">
        <color theme="1" tint="0.499984740745262"/>
      </left>
      <right/>
      <top style="thin">
        <color theme="0" tint="-0.14993743705557422"/>
      </top>
      <bottom style="thin">
        <color theme="0" tint="-0.14993743705557422"/>
      </bottom>
      <diagonal/>
    </border>
    <border>
      <left style="thin">
        <color theme="1" tint="0.499984740745262"/>
      </left>
      <right/>
      <top style="thin">
        <color theme="0" tint="-0.14993743705557422"/>
      </top>
      <bottom style="thin">
        <color indexed="64"/>
      </bottom>
      <diagonal/>
    </border>
    <border>
      <left style="thin">
        <color theme="1" tint="0.499984740745262"/>
      </left>
      <right/>
      <top style="thin">
        <color theme="0" tint="-0.14993743705557422"/>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theme="1" tint="0.499984740745262"/>
      </top>
      <bottom style="thin">
        <color indexed="64"/>
      </bottom>
      <diagonal/>
    </border>
    <border>
      <left style="thin">
        <color indexed="64"/>
      </left>
      <right style="thin">
        <color theme="1" tint="0.499984740745262"/>
      </right>
      <top style="thin">
        <color theme="1" tint="0.499984740745262"/>
      </top>
      <bottom style="thin">
        <color indexed="64"/>
      </bottom>
      <diagonal/>
    </border>
    <border>
      <left style="thin">
        <color theme="0" tint="-0.14993743705557422"/>
      </left>
      <right style="thin">
        <color theme="1" tint="0.499984740745262"/>
      </right>
      <top style="thin">
        <color theme="0" tint="-0.14993743705557422"/>
      </top>
      <bottom style="thin">
        <color theme="0" tint="-0.14993743705557422"/>
      </bottom>
      <diagonal/>
    </border>
    <border>
      <left style="thin">
        <color theme="1" tint="0.499984740745262"/>
      </left>
      <right style="thin">
        <color theme="0" tint="-0.14993743705557422"/>
      </right>
      <top style="thin">
        <color theme="0" tint="-0.14993743705557422"/>
      </top>
      <bottom style="thin">
        <color theme="1" tint="0.499984740745262"/>
      </bottom>
      <diagonal/>
    </border>
    <border>
      <left style="thin">
        <color theme="0" tint="-0.14993743705557422"/>
      </left>
      <right style="thin">
        <color theme="0" tint="-0.14993743705557422"/>
      </right>
      <top style="thin">
        <color theme="0" tint="-0.14993743705557422"/>
      </top>
      <bottom style="thin">
        <color theme="1" tint="0.499984740745262"/>
      </bottom>
      <diagonal/>
    </border>
    <border>
      <left style="thin">
        <color theme="0" tint="-0.14993743705557422"/>
      </left>
      <right style="thin">
        <color theme="1" tint="0.499984740745262"/>
      </right>
      <top style="thin">
        <color theme="0" tint="-0.14993743705557422"/>
      </top>
      <bottom style="thin">
        <color theme="1" tint="0.499984740745262"/>
      </bottom>
      <diagonal/>
    </border>
    <border>
      <left style="thin">
        <color theme="1" tint="0.499984740745262"/>
      </left>
      <right style="thin">
        <color indexed="64"/>
      </right>
      <top/>
      <bottom style="thin">
        <color indexed="64"/>
      </bottom>
      <diagonal/>
    </border>
    <border>
      <left style="thin">
        <color indexed="64"/>
      </left>
      <right style="thin">
        <color theme="1" tint="0.499984740745262"/>
      </right>
      <top/>
      <bottom style="thin">
        <color indexed="64"/>
      </bottom>
      <diagonal/>
    </border>
    <border>
      <left style="thin">
        <color theme="1" tint="0.499984740745262"/>
      </left>
      <right/>
      <top style="thin">
        <color indexed="64"/>
      </top>
      <bottom style="thin">
        <color theme="0" tint="-0.14993743705557422"/>
      </bottom>
      <diagonal/>
    </border>
    <border>
      <left/>
      <right style="thin">
        <color theme="1" tint="0.499984740745262"/>
      </right>
      <top style="thin">
        <color indexed="64"/>
      </top>
      <bottom style="thin">
        <color theme="0" tint="-0.14993743705557422"/>
      </bottom>
      <diagonal/>
    </border>
    <border>
      <left style="thin">
        <color theme="1" tint="0.499984740745262"/>
      </left>
      <right/>
      <top/>
      <bottom style="thin">
        <color theme="0" tint="-0.14993743705557422"/>
      </bottom>
      <diagonal/>
    </border>
    <border>
      <left/>
      <right style="thin">
        <color theme="1" tint="0.499984740745262"/>
      </right>
      <top/>
      <bottom style="thin">
        <color theme="0" tint="-0.14993743705557422"/>
      </bottom>
      <diagonal/>
    </border>
    <border>
      <left style="thin">
        <color theme="1" tint="0.499984740745262"/>
      </left>
      <right/>
      <top style="thin">
        <color indexed="64"/>
      </top>
      <bottom style="thin">
        <color theme="1" tint="0.499984740745262"/>
      </bottom>
      <diagonal/>
    </border>
    <border>
      <left style="thin">
        <color theme="0" tint="-0.249977111117893"/>
      </left>
      <right style="thin">
        <color theme="0" tint="-0.249977111117893"/>
      </right>
      <top style="thin">
        <color indexed="64"/>
      </top>
      <bottom style="thin">
        <color theme="1" tint="0.499984740745262"/>
      </bottom>
      <diagonal/>
    </border>
    <border>
      <left style="thin">
        <color theme="0" tint="-0.249977111117893"/>
      </left>
      <right style="thin">
        <color theme="1" tint="0.499984740745262"/>
      </right>
      <top style="thin">
        <color indexed="64"/>
      </top>
      <bottom style="thin">
        <color theme="1" tint="0.499984740745262"/>
      </bottom>
      <diagonal/>
    </border>
    <border>
      <left style="thin">
        <color theme="0" tint="-0.249977111117893"/>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4"/>
      </top>
      <bottom/>
      <diagonal/>
    </border>
    <border>
      <left style="thin">
        <color theme="1" tint="0.499984740745262"/>
      </left>
      <right style="thin">
        <color theme="1" tint="0.499984740745262"/>
      </right>
      <top style="thin">
        <color theme="4"/>
      </top>
      <bottom/>
      <diagonal/>
    </border>
    <border>
      <left style="thin">
        <color theme="1" tint="0.499984740745262"/>
      </left>
      <right style="thin">
        <color theme="1" tint="0.499984740745262"/>
      </right>
      <top/>
      <bottom/>
      <diagonal/>
    </border>
    <border>
      <left style="thin">
        <color theme="1" tint="0.499984740745262"/>
      </left>
      <right style="thin">
        <color theme="0" tint="-0.14993743705557422"/>
      </right>
      <top/>
      <bottom style="thin">
        <color theme="1" tint="0.499984740745262"/>
      </bottom>
      <diagonal/>
    </border>
    <border>
      <left style="thin">
        <color theme="1" tint="0.499984740745262"/>
      </left>
      <right style="thin">
        <color theme="1" tint="0.499984740745262"/>
      </right>
      <top/>
      <bottom style="medium">
        <color theme="1"/>
      </bottom>
      <diagonal/>
    </border>
    <border>
      <left style="thin">
        <color theme="1" tint="0.499984740745262"/>
      </left>
      <right style="thin">
        <color theme="1" tint="0.499984740745262"/>
      </right>
      <top style="thin">
        <color theme="1" tint="0.499984740745262"/>
      </top>
      <bottom style="medium">
        <color theme="1"/>
      </bottom>
      <diagonal/>
    </border>
    <border>
      <left/>
      <right style="thin">
        <color theme="1" tint="0.499984740745262"/>
      </right>
      <top/>
      <bottom style="medium">
        <color theme="1"/>
      </bottom>
      <diagonal/>
    </border>
    <border>
      <left/>
      <right style="thin">
        <color theme="1" tint="0.499984740745262"/>
      </right>
      <top style="thin">
        <color theme="1" tint="0.499984740745262"/>
      </top>
      <bottom style="medium">
        <color theme="1"/>
      </bottom>
      <diagonal/>
    </border>
  </borders>
  <cellStyleXfs count="5">
    <xf numFmtId="0" fontId="0" fillId="0" borderId="0"/>
    <xf numFmtId="0" fontId="9" fillId="12" borderId="0" applyNumberFormat="0" applyBorder="0" applyAlignment="0" applyProtection="0"/>
    <xf numFmtId="0" fontId="9" fillId="13" borderId="0" applyNumberFormat="0" applyBorder="0" applyAlignment="0" applyProtection="0"/>
    <xf numFmtId="0" fontId="43" fillId="17" borderId="0" applyNumberFormat="0" applyBorder="0" applyAlignment="0" applyProtection="0"/>
    <xf numFmtId="164" fontId="9" fillId="0" borderId="0" applyFont="0" applyFill="0" applyBorder="0" applyAlignment="0" applyProtection="0"/>
  </cellStyleXfs>
  <cellXfs count="575">
    <xf numFmtId="0" fontId="0" fillId="0" borderId="0" xfId="0"/>
    <xf numFmtId="0" fontId="4" fillId="0" borderId="0" xfId="0" applyFont="1"/>
    <xf numFmtId="0" fontId="4" fillId="0" borderId="0" xfId="0" applyFont="1" applyAlignment="1">
      <alignment horizontal="center"/>
    </xf>
    <xf numFmtId="0" fontId="0" fillId="0" borderId="0" xfId="0" applyAlignment="1">
      <alignment horizontal="center"/>
    </xf>
    <xf numFmtId="0" fontId="0" fillId="7" borderId="0" xfId="0" applyFill="1"/>
    <xf numFmtId="0" fontId="4" fillId="0" borderId="0" xfId="0" applyFont="1" applyAlignment="1">
      <alignment horizontal="right"/>
    </xf>
    <xf numFmtId="0" fontId="0" fillId="7" borderId="8" xfId="0" applyFill="1" applyBorder="1" applyAlignment="1">
      <alignment horizontal="center" wrapText="1"/>
    </xf>
    <xf numFmtId="0" fontId="18" fillId="0" borderId="0" xfId="0" applyFont="1"/>
    <xf numFmtId="3" fontId="17" fillId="7" borderId="16" xfId="1" applyNumberFormat="1" applyFont="1" applyFill="1" applyBorder="1" applyAlignment="1">
      <alignment horizontal="left" vertical="top" indent="3"/>
    </xf>
    <xf numFmtId="3" fontId="14" fillId="7" borderId="15" xfId="1" applyNumberFormat="1" applyFont="1" applyFill="1" applyBorder="1" applyAlignment="1">
      <alignment horizontal="left" vertical="top" indent="2"/>
    </xf>
    <xf numFmtId="0" fontId="7" fillId="7" borderId="3" xfId="0" applyFont="1" applyFill="1" applyBorder="1" applyAlignment="1">
      <alignment horizontal="right" vertical="center" wrapText="1"/>
    </xf>
    <xf numFmtId="0" fontId="0" fillId="7" borderId="6" xfId="0" applyFill="1" applyBorder="1" applyAlignment="1">
      <alignment wrapText="1"/>
    </xf>
    <xf numFmtId="3" fontId="21" fillId="11" borderId="18" xfId="0" applyNumberFormat="1" applyFont="1" applyFill="1" applyBorder="1" applyAlignment="1">
      <alignment horizontal="center"/>
    </xf>
    <xf numFmtId="0" fontId="2" fillId="15" borderId="2" xfId="0" applyFont="1" applyFill="1" applyBorder="1" applyAlignment="1">
      <alignment horizontal="center" vertical="center"/>
    </xf>
    <xf numFmtId="0" fontId="22" fillId="15" borderId="2" xfId="0" applyFont="1" applyFill="1" applyBorder="1" applyAlignment="1">
      <alignment horizontal="center" vertical="center"/>
    </xf>
    <xf numFmtId="0" fontId="23" fillId="3" borderId="18" xfId="0" applyFont="1" applyFill="1" applyBorder="1" applyAlignment="1">
      <alignment horizontal="center" wrapText="1"/>
    </xf>
    <xf numFmtId="0" fontId="0" fillId="6" borderId="0" xfId="0" applyFill="1"/>
    <xf numFmtId="0" fontId="24" fillId="6" borderId="0" xfId="0" applyFont="1" applyFill="1"/>
    <xf numFmtId="10" fontId="21" fillId="3" borderId="18" xfId="0" applyNumberFormat="1" applyFont="1" applyFill="1" applyBorder="1" applyAlignment="1">
      <alignment horizontal="center" wrapText="1"/>
    </xf>
    <xf numFmtId="0" fontId="7" fillId="7" borderId="6" xfId="0" applyFont="1" applyFill="1" applyBorder="1" applyAlignment="1">
      <alignment horizontal="right" vertical="center" wrapText="1"/>
    </xf>
    <xf numFmtId="0" fontId="5" fillId="4" borderId="4" xfId="0" applyFont="1" applyFill="1" applyBorder="1" applyAlignment="1">
      <alignment horizontal="center" vertical="center" wrapText="1"/>
    </xf>
    <xf numFmtId="4" fontId="21" fillId="11" borderId="18" xfId="0" applyNumberFormat="1" applyFont="1" applyFill="1" applyBorder="1" applyAlignment="1">
      <alignment horizontal="center"/>
    </xf>
    <xf numFmtId="0" fontId="3" fillId="3" borderId="0" xfId="0" applyFont="1" applyFill="1" applyAlignment="1">
      <alignment horizontal="center" vertical="center" wrapText="1"/>
    </xf>
    <xf numFmtId="0" fontId="3" fillId="3" borderId="0" xfId="0" applyFont="1" applyFill="1"/>
    <xf numFmtId="3" fontId="22" fillId="11" borderId="18" xfId="0" applyNumberFormat="1" applyFont="1" applyFill="1" applyBorder="1" applyAlignment="1">
      <alignment horizontal="center"/>
    </xf>
    <xf numFmtId="0" fontId="24" fillId="0" borderId="0" xfId="0" applyFont="1"/>
    <xf numFmtId="0" fontId="29" fillId="15" borderId="36" xfId="0" applyFont="1" applyFill="1" applyBorder="1" applyAlignment="1">
      <alignment horizontal="center"/>
    </xf>
    <xf numFmtId="0" fontId="29" fillId="15" borderId="37" xfId="0" applyFont="1" applyFill="1" applyBorder="1" applyAlignment="1">
      <alignment horizontal="center"/>
    </xf>
    <xf numFmtId="0" fontId="25" fillId="0" borderId="0" xfId="0" applyFont="1"/>
    <xf numFmtId="0" fontId="0" fillId="11" borderId="0" xfId="0" applyFill="1" applyAlignment="1">
      <alignment horizontal="center"/>
    </xf>
    <xf numFmtId="4" fontId="0" fillId="11" borderId="0" xfId="0" applyNumberFormat="1" applyFill="1" applyAlignment="1">
      <alignment horizontal="center"/>
    </xf>
    <xf numFmtId="3" fontId="31" fillId="14" borderId="28" xfId="1" applyNumberFormat="1" applyFont="1" applyFill="1" applyBorder="1" applyAlignment="1">
      <alignment horizontal="left" vertical="top" wrapText="1"/>
    </xf>
    <xf numFmtId="0" fontId="0" fillId="0" borderId="0" xfId="0" applyAlignment="1">
      <alignment horizontal="left" indent="1"/>
    </xf>
    <xf numFmtId="0" fontId="10" fillId="5" borderId="0" xfId="0" applyFont="1" applyFill="1" applyAlignment="1">
      <alignment horizontal="left" indent="1"/>
    </xf>
    <xf numFmtId="0" fontId="10" fillId="5" borderId="0" xfId="0" applyFont="1" applyFill="1"/>
    <xf numFmtId="0" fontId="29" fillId="5" borderId="0" xfId="0" applyFont="1" applyFill="1" applyAlignment="1">
      <alignment horizontal="left" indent="1"/>
    </xf>
    <xf numFmtId="4" fontId="21" fillId="11" borderId="44" xfId="0" applyNumberFormat="1" applyFont="1" applyFill="1" applyBorder="1" applyAlignment="1">
      <alignment horizontal="center"/>
    </xf>
    <xf numFmtId="0" fontId="29" fillId="4" borderId="4" xfId="0" applyFont="1" applyFill="1" applyBorder="1" applyAlignment="1">
      <alignment horizontal="center" vertical="center" wrapText="1"/>
    </xf>
    <xf numFmtId="0" fontId="0" fillId="8" borderId="23" xfId="0" applyFill="1" applyBorder="1" applyAlignment="1" applyProtection="1">
      <alignment horizontal="center"/>
      <protection locked="0"/>
    </xf>
    <xf numFmtId="0" fontId="10" fillId="2" borderId="27" xfId="0" applyFont="1" applyFill="1" applyBorder="1" applyAlignment="1">
      <alignment horizontal="center"/>
    </xf>
    <xf numFmtId="0" fontId="29" fillId="5" borderId="45" xfId="0" applyFont="1" applyFill="1" applyBorder="1" applyAlignment="1">
      <alignment horizontal="left" indent="1"/>
    </xf>
    <xf numFmtId="0" fontId="25" fillId="0" borderId="4" xfId="0" applyFont="1" applyBorder="1" applyAlignment="1">
      <alignment vertical="center"/>
    </xf>
    <xf numFmtId="0" fontId="26" fillId="4" borderId="4" xfId="0" applyFont="1" applyFill="1" applyBorder="1" applyAlignment="1">
      <alignment horizontal="center" vertical="center" wrapText="1"/>
    </xf>
    <xf numFmtId="3" fontId="17" fillId="14" borderId="15" xfId="1" applyNumberFormat="1" applyFont="1" applyFill="1" applyBorder="1" applyAlignment="1">
      <alignment horizontal="left" vertical="top" wrapText="1" indent="3"/>
    </xf>
    <xf numFmtId="0" fontId="0" fillId="8" borderId="0" xfId="0" applyFill="1" applyAlignment="1">
      <alignment wrapText="1"/>
    </xf>
    <xf numFmtId="0" fontId="10" fillId="2" borderId="1" xfId="0" applyFont="1" applyFill="1" applyBorder="1" applyAlignment="1">
      <alignment horizontal="center" vertical="center" wrapText="1"/>
    </xf>
    <xf numFmtId="0" fontId="10" fillId="2" borderId="19" xfId="0" applyFont="1" applyFill="1" applyBorder="1" applyAlignment="1">
      <alignment horizontal="center" vertical="center" wrapText="1"/>
    </xf>
    <xf numFmtId="3" fontId="40" fillId="14" borderId="4" xfId="1" applyNumberFormat="1" applyFont="1" applyFill="1" applyBorder="1" applyAlignment="1">
      <alignment horizontal="center" vertical="top" wrapText="1"/>
    </xf>
    <xf numFmtId="4" fontId="21" fillId="11" borderId="47" xfId="0" applyNumberFormat="1" applyFont="1" applyFill="1" applyBorder="1" applyAlignment="1">
      <alignment horizontal="center"/>
    </xf>
    <xf numFmtId="3" fontId="21" fillId="2" borderId="18" xfId="0" applyNumberFormat="1" applyFont="1" applyFill="1" applyBorder="1" applyAlignment="1">
      <alignment horizontal="center"/>
    </xf>
    <xf numFmtId="4" fontId="21" fillId="2" borderId="47" xfId="0" applyNumberFormat="1" applyFont="1" applyFill="1" applyBorder="1" applyAlignment="1">
      <alignment horizontal="center"/>
    </xf>
    <xf numFmtId="3" fontId="21" fillId="2" borderId="44" xfId="0" applyNumberFormat="1" applyFont="1" applyFill="1" applyBorder="1" applyAlignment="1">
      <alignment horizontal="center"/>
    </xf>
    <xf numFmtId="4" fontId="21" fillId="11" borderId="48" xfId="0" applyNumberFormat="1" applyFont="1" applyFill="1" applyBorder="1" applyAlignment="1">
      <alignment horizontal="center"/>
    </xf>
    <xf numFmtId="4" fontId="21" fillId="11" borderId="49" xfId="0" applyNumberFormat="1" applyFont="1" applyFill="1" applyBorder="1" applyAlignment="1">
      <alignment horizontal="center"/>
    </xf>
    <xf numFmtId="4" fontId="21" fillId="11" borderId="51" xfId="0" applyNumberFormat="1" applyFont="1" applyFill="1" applyBorder="1" applyAlignment="1">
      <alignment horizontal="center"/>
    </xf>
    <xf numFmtId="0" fontId="3" fillId="18" borderId="0" xfId="0" applyFont="1" applyFill="1" applyAlignment="1">
      <alignment horizontal="center" vertical="center" wrapText="1"/>
    </xf>
    <xf numFmtId="0" fontId="3" fillId="18" borderId="0" xfId="0" applyFont="1" applyFill="1"/>
    <xf numFmtId="0" fontId="3" fillId="18" borderId="22" xfId="0" applyFont="1" applyFill="1" applyBorder="1"/>
    <xf numFmtId="0" fontId="3" fillId="18" borderId="50" xfId="0" applyFont="1" applyFill="1" applyBorder="1"/>
    <xf numFmtId="0" fontId="3" fillId="18" borderId="52" xfId="0" applyFont="1" applyFill="1" applyBorder="1"/>
    <xf numFmtId="3" fontId="27" fillId="2" borderId="54" xfId="0" applyNumberFormat="1" applyFont="1" applyFill="1" applyBorder="1" applyAlignment="1">
      <alignment horizontal="center"/>
    </xf>
    <xf numFmtId="4" fontId="11" fillId="2" borderId="53" xfId="0" applyNumberFormat="1" applyFont="1" applyFill="1" applyBorder="1" applyAlignment="1">
      <alignment horizontal="right"/>
    </xf>
    <xf numFmtId="0" fontId="4" fillId="2" borderId="55" xfId="0" applyFont="1" applyFill="1" applyBorder="1" applyAlignment="1">
      <alignment horizontal="right"/>
    </xf>
    <xf numFmtId="0" fontId="1" fillId="2" borderId="55" xfId="0" applyFont="1" applyFill="1" applyBorder="1" applyAlignment="1">
      <alignment horizontal="right"/>
    </xf>
    <xf numFmtId="0" fontId="0" fillId="2" borderId="55" xfId="0" applyFill="1" applyBorder="1"/>
    <xf numFmtId="0" fontId="29" fillId="4" borderId="20" xfId="0" applyFont="1" applyFill="1" applyBorder="1" applyAlignment="1">
      <alignment horizontal="center" vertical="center" wrapText="1"/>
    </xf>
    <xf numFmtId="0" fontId="29" fillId="4" borderId="1" xfId="0" applyFont="1" applyFill="1" applyBorder="1" applyAlignment="1">
      <alignment horizontal="center" vertical="center" wrapText="1"/>
    </xf>
    <xf numFmtId="0" fontId="0" fillId="2" borderId="7" xfId="0" applyFill="1" applyBorder="1" applyAlignment="1">
      <alignment horizontal="center" vertical="center"/>
    </xf>
    <xf numFmtId="0" fontId="0" fillId="8" borderId="24" xfId="0" applyFill="1" applyBorder="1" applyAlignment="1" applyProtection="1">
      <alignment horizontal="center"/>
      <protection locked="0"/>
    </xf>
    <xf numFmtId="0" fontId="21" fillId="3" borderId="18" xfId="0" applyFont="1" applyFill="1" applyBorder="1" applyAlignment="1">
      <alignment horizontal="center" vertical="center" wrapText="1"/>
    </xf>
    <xf numFmtId="3" fontId="17" fillId="14" borderId="7" xfId="1" applyNumberFormat="1" applyFont="1" applyFill="1" applyBorder="1" applyAlignment="1">
      <alignment horizontal="left" vertical="top" wrapText="1" indent="3"/>
    </xf>
    <xf numFmtId="3" fontId="11" fillId="14" borderId="15" xfId="1" applyNumberFormat="1" applyFont="1" applyFill="1" applyBorder="1" applyAlignment="1">
      <alignment horizontal="left" vertical="top" indent="1"/>
    </xf>
    <xf numFmtId="3" fontId="52" fillId="14" borderId="15" xfId="1" applyNumberFormat="1" applyFont="1" applyFill="1" applyBorder="1" applyAlignment="1">
      <alignment horizontal="left" vertical="top" indent="3"/>
    </xf>
    <xf numFmtId="3" fontId="53" fillId="2" borderId="15" xfId="2" applyNumberFormat="1" applyFont="1" applyFill="1" applyBorder="1" applyAlignment="1">
      <alignment vertical="top"/>
    </xf>
    <xf numFmtId="4" fontId="53" fillId="2" borderId="15" xfId="2" applyNumberFormat="1" applyFont="1" applyFill="1" applyBorder="1" applyAlignment="1">
      <alignment vertical="top"/>
    </xf>
    <xf numFmtId="4" fontId="21" fillId="11" borderId="9" xfId="0" applyNumberFormat="1" applyFont="1" applyFill="1" applyBorder="1" applyAlignment="1">
      <alignment horizontal="right" vertical="center"/>
    </xf>
    <xf numFmtId="0" fontId="9" fillId="7" borderId="0" xfId="0" applyFont="1" applyFill="1"/>
    <xf numFmtId="165" fontId="11" fillId="11" borderId="13" xfId="0" applyNumberFormat="1" applyFont="1" applyFill="1" applyBorder="1" applyAlignment="1">
      <alignment vertical="center"/>
    </xf>
    <xf numFmtId="165" fontId="11" fillId="11" borderId="10" xfId="0" applyNumberFormat="1" applyFont="1" applyFill="1" applyBorder="1" applyAlignment="1">
      <alignment vertical="center"/>
    </xf>
    <xf numFmtId="165" fontId="11" fillId="11" borderId="11" xfId="0" applyNumberFormat="1" applyFont="1" applyFill="1" applyBorder="1" applyAlignment="1">
      <alignment vertical="center"/>
    </xf>
    <xf numFmtId="3" fontId="53" fillId="7" borderId="15" xfId="2" applyNumberFormat="1" applyFont="1" applyFill="1" applyBorder="1" applyAlignment="1">
      <alignment vertical="top"/>
    </xf>
    <xf numFmtId="4" fontId="21" fillId="7" borderId="9" xfId="0" applyNumberFormat="1" applyFont="1" applyFill="1" applyBorder="1" applyAlignment="1">
      <alignment horizontal="right" vertical="center"/>
    </xf>
    <xf numFmtId="165" fontId="11" fillId="11" borderId="12" xfId="0" applyNumberFormat="1" applyFont="1" applyFill="1" applyBorder="1" applyAlignment="1">
      <alignment vertical="center"/>
    </xf>
    <xf numFmtId="3" fontId="53" fillId="2" borderId="15" xfId="2" applyNumberFormat="1" applyFont="1" applyFill="1" applyBorder="1" applyAlignment="1">
      <alignment horizontal="center" vertical="top"/>
    </xf>
    <xf numFmtId="3" fontId="52" fillId="2" borderId="15" xfId="2" applyNumberFormat="1" applyFont="1" applyFill="1" applyBorder="1" applyAlignment="1">
      <alignment vertical="top"/>
    </xf>
    <xf numFmtId="0" fontId="9" fillId="0" borderId="0" xfId="0" applyFont="1"/>
    <xf numFmtId="3" fontId="11" fillId="14" borderId="30" xfId="1" applyNumberFormat="1" applyFont="1" applyFill="1" applyBorder="1" applyAlignment="1">
      <alignment horizontal="left" vertical="top" indent="1"/>
    </xf>
    <xf numFmtId="3" fontId="11" fillId="14" borderId="32" xfId="1" applyNumberFormat="1" applyFont="1" applyFill="1" applyBorder="1" applyAlignment="1">
      <alignment horizontal="left" vertical="top" indent="1"/>
    </xf>
    <xf numFmtId="3" fontId="11" fillId="14" borderId="38" xfId="1" applyNumberFormat="1" applyFont="1" applyFill="1" applyBorder="1" applyAlignment="1">
      <alignment horizontal="left" vertical="top" indent="1"/>
    </xf>
    <xf numFmtId="3" fontId="11" fillId="14" borderId="60" xfId="1" applyNumberFormat="1" applyFont="1" applyFill="1" applyBorder="1" applyAlignment="1">
      <alignment horizontal="left" vertical="top" indent="1"/>
    </xf>
    <xf numFmtId="3" fontId="11" fillId="14" borderId="61" xfId="1" applyNumberFormat="1" applyFont="1" applyFill="1" applyBorder="1" applyAlignment="1">
      <alignment horizontal="left" vertical="top" indent="1"/>
    </xf>
    <xf numFmtId="3" fontId="41" fillId="14" borderId="4" xfId="1" applyNumberFormat="1" applyFont="1" applyFill="1" applyBorder="1" applyAlignment="1">
      <alignment horizontal="right" vertical="center" wrapText="1"/>
    </xf>
    <xf numFmtId="0" fontId="0" fillId="8" borderId="62" xfId="0" applyFill="1" applyBorder="1" applyAlignment="1" applyProtection="1">
      <alignment horizontal="center"/>
      <protection locked="0"/>
    </xf>
    <xf numFmtId="0" fontId="29" fillId="4" borderId="27" xfId="0" applyFont="1" applyFill="1" applyBorder="1" applyAlignment="1">
      <alignment horizontal="center" vertical="center" wrapText="1"/>
    </xf>
    <xf numFmtId="4" fontId="21" fillId="11" borderId="63" xfId="0" applyNumberFormat="1" applyFont="1" applyFill="1" applyBorder="1" applyAlignment="1">
      <alignment horizontal="center"/>
    </xf>
    <xf numFmtId="0" fontId="0" fillId="8" borderId="23" xfId="0" applyFill="1" applyBorder="1" applyAlignment="1" applyProtection="1">
      <alignment horizontal="center" wrapText="1"/>
      <protection locked="0"/>
    </xf>
    <xf numFmtId="0" fontId="29" fillId="15" borderId="0" xfId="0" applyFont="1" applyFill="1" applyAlignment="1">
      <alignment vertical="center" wrapText="1" readingOrder="1"/>
    </xf>
    <xf numFmtId="0" fontId="29" fillId="15" borderId="22" xfId="0" applyFont="1" applyFill="1" applyBorder="1" applyAlignment="1">
      <alignment vertical="center" wrapText="1" readingOrder="1"/>
    </xf>
    <xf numFmtId="3" fontId="11" fillId="14" borderId="64" xfId="1" applyNumberFormat="1" applyFont="1" applyFill="1" applyBorder="1" applyAlignment="1">
      <alignment horizontal="left" vertical="top" indent="1"/>
    </xf>
    <xf numFmtId="3" fontId="10" fillId="2" borderId="56" xfId="0" applyNumberFormat="1" applyFont="1" applyFill="1" applyBorder="1" applyAlignment="1">
      <alignment horizontal="right"/>
    </xf>
    <xf numFmtId="3" fontId="10" fillId="2" borderId="59" xfId="0" applyNumberFormat="1" applyFont="1" applyFill="1" applyBorder="1" applyAlignment="1">
      <alignment horizontal="right"/>
    </xf>
    <xf numFmtId="0" fontId="0" fillId="5" borderId="0" xfId="0" applyFill="1"/>
    <xf numFmtId="3" fontId="52" fillId="14" borderId="28" xfId="1" applyNumberFormat="1" applyFont="1" applyFill="1" applyBorder="1" applyAlignment="1">
      <alignment horizontal="left" vertical="top" indent="3"/>
    </xf>
    <xf numFmtId="3" fontId="11" fillId="19" borderId="16" xfId="1" applyNumberFormat="1" applyFont="1" applyFill="1" applyBorder="1" applyAlignment="1">
      <alignment vertical="top"/>
    </xf>
    <xf numFmtId="3" fontId="11" fillId="19" borderId="0" xfId="1" applyNumberFormat="1" applyFont="1" applyFill="1" applyBorder="1" applyAlignment="1">
      <alignment vertical="top"/>
    </xf>
    <xf numFmtId="3" fontId="11" fillId="19" borderId="22" xfId="1" applyNumberFormat="1" applyFont="1" applyFill="1" applyBorder="1" applyAlignment="1">
      <alignment vertical="top"/>
    </xf>
    <xf numFmtId="0" fontId="29" fillId="15" borderId="27" xfId="0" applyFont="1" applyFill="1" applyBorder="1" applyAlignment="1">
      <alignment horizontal="left" vertical="center" wrapText="1" readingOrder="1"/>
    </xf>
    <xf numFmtId="0" fontId="0" fillId="6" borderId="0" xfId="0" applyFill="1" applyAlignment="1">
      <alignment horizontal="left"/>
    </xf>
    <xf numFmtId="0" fontId="0" fillId="6" borderId="0" xfId="0" applyFill="1" applyAlignment="1">
      <alignment horizontal="center"/>
    </xf>
    <xf numFmtId="0" fontId="49" fillId="5" borderId="0" xfId="0" applyFont="1" applyFill="1"/>
    <xf numFmtId="0" fontId="29" fillId="5" borderId="0" xfId="0" applyFont="1" applyFill="1"/>
    <xf numFmtId="0" fontId="38" fillId="5" borderId="0" xfId="0" applyFont="1" applyFill="1" applyAlignment="1">
      <alignment horizontal="center"/>
    </xf>
    <xf numFmtId="3" fontId="52" fillId="14" borderId="65" xfId="1" applyNumberFormat="1" applyFont="1" applyFill="1" applyBorder="1" applyAlignment="1">
      <alignment horizontal="left" vertical="top" indent="3"/>
    </xf>
    <xf numFmtId="0" fontId="55" fillId="2" borderId="27" xfId="0" applyFont="1" applyFill="1" applyBorder="1" applyAlignment="1">
      <alignment horizontal="right" vertical="center"/>
    </xf>
    <xf numFmtId="3" fontId="11" fillId="2" borderId="15" xfId="1" applyNumberFormat="1" applyFont="1" applyFill="1" applyBorder="1" applyAlignment="1">
      <alignment horizontal="left" vertical="top" indent="1"/>
    </xf>
    <xf numFmtId="0" fontId="55" fillId="2" borderId="27" xfId="0" applyFont="1" applyFill="1" applyBorder="1" applyAlignment="1">
      <alignment horizontal="right" vertical="center" wrapText="1"/>
    </xf>
    <xf numFmtId="4" fontId="52" fillId="2" borderId="15" xfId="2" applyNumberFormat="1" applyFont="1" applyFill="1" applyBorder="1" applyAlignment="1">
      <alignment vertical="top"/>
    </xf>
    <xf numFmtId="0" fontId="19" fillId="2" borderId="11" xfId="0" applyFont="1" applyFill="1" applyBorder="1" applyAlignment="1">
      <alignment horizontal="center" vertical="center"/>
    </xf>
    <xf numFmtId="3" fontId="27" fillId="11" borderId="29" xfId="0" applyNumberFormat="1" applyFont="1" applyFill="1" applyBorder="1" applyAlignment="1">
      <alignment horizontal="center"/>
    </xf>
    <xf numFmtId="0" fontId="8" fillId="6" borderId="27" xfId="0" applyFont="1" applyFill="1" applyBorder="1" applyAlignment="1">
      <alignment horizontal="left"/>
    </xf>
    <xf numFmtId="0" fontId="8" fillId="6" borderId="25" xfId="0" applyFont="1" applyFill="1" applyBorder="1" applyAlignment="1">
      <alignment horizontal="left"/>
    </xf>
    <xf numFmtId="3" fontId="53" fillId="14" borderId="28" xfId="1" applyNumberFormat="1" applyFont="1" applyFill="1" applyBorder="1" applyAlignment="1">
      <alignment horizontal="left" vertical="top" indent="3"/>
    </xf>
    <xf numFmtId="0" fontId="46" fillId="5" borderId="0" xfId="0" applyFont="1" applyFill="1" applyAlignment="1">
      <alignment wrapText="1"/>
    </xf>
    <xf numFmtId="3" fontId="18" fillId="14" borderId="28" xfId="1" applyNumberFormat="1" applyFont="1" applyFill="1" applyBorder="1" applyAlignment="1">
      <alignment horizontal="left" vertical="top" wrapText="1"/>
    </xf>
    <xf numFmtId="3" fontId="18" fillId="14" borderId="0" xfId="1" applyNumberFormat="1" applyFont="1" applyFill="1" applyBorder="1" applyAlignment="1">
      <alignment horizontal="left" vertical="top" wrapText="1"/>
    </xf>
    <xf numFmtId="0" fontId="10" fillId="0" borderId="0" xfId="0" applyFont="1"/>
    <xf numFmtId="4" fontId="0" fillId="0" borderId="0" xfId="0" applyNumberFormat="1"/>
    <xf numFmtId="3" fontId="18" fillId="14" borderId="0" xfId="1" applyNumberFormat="1" applyFont="1" applyFill="1" applyBorder="1" applyAlignment="1">
      <alignment horizontal="right" vertical="top" wrapText="1"/>
    </xf>
    <xf numFmtId="3" fontId="31" fillId="14" borderId="28" xfId="1" applyNumberFormat="1" applyFont="1" applyFill="1" applyBorder="1" applyAlignment="1">
      <alignment horizontal="right" vertical="top" wrapText="1"/>
    </xf>
    <xf numFmtId="10" fontId="0" fillId="0" borderId="0" xfId="0" applyNumberFormat="1" applyAlignment="1">
      <alignment horizontal="center"/>
    </xf>
    <xf numFmtId="0" fontId="23" fillId="3" borderId="18" xfId="0" applyFont="1" applyFill="1" applyBorder="1" applyAlignment="1">
      <alignment horizontal="center" vertical="center" wrapText="1"/>
    </xf>
    <xf numFmtId="4" fontId="21" fillId="3" borderId="18" xfId="0" applyNumberFormat="1" applyFont="1" applyFill="1" applyBorder="1" applyAlignment="1">
      <alignment horizontal="center" vertical="center" wrapText="1"/>
    </xf>
    <xf numFmtId="0" fontId="11" fillId="11" borderId="4" xfId="0" applyFont="1" applyFill="1" applyBorder="1" applyAlignment="1">
      <alignment horizontal="center" vertical="center"/>
    </xf>
    <xf numFmtId="3" fontId="59" fillId="2" borderId="15" xfId="1" applyNumberFormat="1" applyFont="1" applyFill="1" applyBorder="1" applyAlignment="1">
      <alignment horizontal="left" vertical="top" indent="1"/>
    </xf>
    <xf numFmtId="0" fontId="38" fillId="6" borderId="7" xfId="0" applyFont="1" applyFill="1" applyBorder="1" applyAlignment="1">
      <alignment horizontal="left"/>
    </xf>
    <xf numFmtId="0" fontId="22" fillId="15" borderId="4" xfId="0" applyFont="1" applyFill="1" applyBorder="1" applyAlignment="1">
      <alignment horizontal="center" vertical="center"/>
    </xf>
    <xf numFmtId="4" fontId="0" fillId="2" borderId="0" xfId="0" applyNumberFormat="1" applyFill="1" applyAlignment="1">
      <alignment horizontal="center"/>
    </xf>
    <xf numFmtId="4" fontId="53" fillId="2" borderId="0" xfId="2" applyNumberFormat="1" applyFont="1" applyFill="1" applyBorder="1" applyAlignment="1">
      <alignment vertical="top"/>
    </xf>
    <xf numFmtId="4" fontId="25" fillId="2" borderId="31" xfId="0" applyNumberFormat="1" applyFont="1" applyFill="1" applyBorder="1" applyAlignment="1">
      <alignment horizontal="right" vertical="center"/>
    </xf>
    <xf numFmtId="4" fontId="25" fillId="2" borderId="40" xfId="0" applyNumberFormat="1" applyFont="1" applyFill="1" applyBorder="1" applyAlignment="1">
      <alignment horizontal="right" vertical="center"/>
    </xf>
    <xf numFmtId="4" fontId="25" fillId="2" borderId="9" xfId="0" applyNumberFormat="1" applyFont="1" applyFill="1" applyBorder="1" applyAlignment="1">
      <alignment horizontal="right" vertical="center"/>
    </xf>
    <xf numFmtId="4" fontId="25" fillId="2" borderId="33" xfId="0" applyNumberFormat="1" applyFont="1" applyFill="1" applyBorder="1" applyAlignment="1">
      <alignment horizontal="right" vertical="center"/>
    </xf>
    <xf numFmtId="4" fontId="25" fillId="2" borderId="13" xfId="0" applyNumberFormat="1" applyFont="1" applyFill="1" applyBorder="1" applyAlignment="1">
      <alignment horizontal="right" vertical="center"/>
    </xf>
    <xf numFmtId="4" fontId="25" fillId="2" borderId="34" xfId="0" applyNumberFormat="1" applyFont="1" applyFill="1" applyBorder="1" applyAlignment="1">
      <alignment horizontal="right" vertical="center"/>
    </xf>
    <xf numFmtId="0" fontId="8" fillId="6" borderId="0" xfId="0" applyFont="1" applyFill="1"/>
    <xf numFmtId="0" fontId="61" fillId="3" borderId="39" xfId="0" applyFont="1" applyFill="1" applyBorder="1"/>
    <xf numFmtId="0" fontId="61" fillId="3" borderId="41" xfId="0" applyFont="1" applyFill="1" applyBorder="1"/>
    <xf numFmtId="0" fontId="61" fillId="3" borderId="42" xfId="0" applyFont="1" applyFill="1" applyBorder="1"/>
    <xf numFmtId="0" fontId="0" fillId="20" borderId="0" xfId="0" applyFill="1" applyAlignment="1">
      <alignment horizontal="left"/>
    </xf>
    <xf numFmtId="0" fontId="62" fillId="5" borderId="0" xfId="0" applyFont="1" applyFill="1" applyAlignment="1">
      <alignment horizontal="center"/>
    </xf>
    <xf numFmtId="0" fontId="63" fillId="5" borderId="0" xfId="0" applyFont="1" applyFill="1" applyAlignment="1">
      <alignment horizontal="left"/>
    </xf>
    <xf numFmtId="0" fontId="63" fillId="5" borderId="0" xfId="0" applyFont="1" applyFill="1"/>
    <xf numFmtId="0" fontId="64" fillId="5" borderId="0" xfId="0" applyFont="1" applyFill="1" applyAlignment="1">
      <alignment wrapText="1"/>
    </xf>
    <xf numFmtId="0" fontId="65" fillId="5" borderId="0" xfId="0" applyFont="1" applyFill="1" applyAlignment="1">
      <alignment horizontal="center"/>
    </xf>
    <xf numFmtId="0" fontId="66" fillId="5" borderId="0" xfId="0" applyFont="1" applyFill="1" applyAlignment="1">
      <alignment horizontal="left"/>
    </xf>
    <xf numFmtId="0" fontId="26" fillId="0" borderId="3" xfId="0" applyFont="1" applyBorder="1" applyAlignment="1" applyProtection="1">
      <alignment horizontal="center" vertical="center" wrapText="1"/>
      <protection locked="0"/>
    </xf>
    <xf numFmtId="0" fontId="26" fillId="0" borderId="0" xfId="0" applyFont="1" applyAlignment="1" applyProtection="1">
      <alignment horizontal="center" vertical="center" wrapText="1"/>
      <protection locked="0"/>
    </xf>
    <xf numFmtId="0" fontId="5" fillId="0" borderId="0" xfId="0" applyFont="1" applyAlignment="1" applyProtection="1">
      <alignment horizontal="center" vertical="center" wrapText="1"/>
      <protection locked="0"/>
    </xf>
    <xf numFmtId="3" fontId="11" fillId="19" borderId="0" xfId="1" applyNumberFormat="1" applyFont="1" applyFill="1" applyBorder="1" applyAlignment="1" applyProtection="1">
      <alignment vertical="top"/>
      <protection locked="0"/>
    </xf>
    <xf numFmtId="3" fontId="52" fillId="0" borderId="28" xfId="1" applyNumberFormat="1" applyFont="1" applyFill="1" applyBorder="1" applyAlignment="1" applyProtection="1">
      <alignment horizontal="left" vertical="top" indent="3"/>
      <protection locked="0"/>
    </xf>
    <xf numFmtId="4" fontId="52" fillId="2" borderId="15" xfId="2" applyNumberFormat="1" applyFont="1" applyFill="1" applyBorder="1" applyAlignment="1" applyProtection="1">
      <alignment vertical="top"/>
      <protection locked="0"/>
    </xf>
    <xf numFmtId="4" fontId="21" fillId="8" borderId="9" xfId="0" applyNumberFormat="1" applyFont="1" applyFill="1" applyBorder="1" applyAlignment="1" applyProtection="1">
      <alignment horizontal="right" vertical="center"/>
      <protection locked="0"/>
    </xf>
    <xf numFmtId="3" fontId="52" fillId="0" borderId="15" xfId="1" applyNumberFormat="1" applyFont="1" applyFill="1" applyBorder="1" applyAlignment="1" applyProtection="1">
      <alignment horizontal="left" vertical="top" indent="3"/>
      <protection locked="0"/>
    </xf>
    <xf numFmtId="0" fontId="21" fillId="0" borderId="4" xfId="0" applyFont="1" applyBorder="1" applyAlignment="1" applyProtection="1">
      <alignment horizontal="center"/>
      <protection locked="0"/>
    </xf>
    <xf numFmtId="0" fontId="32" fillId="8" borderId="4" xfId="0" applyFont="1" applyFill="1" applyBorder="1" applyAlignment="1" applyProtection="1">
      <alignment horizontal="center" vertical="center" wrapText="1"/>
      <protection locked="0"/>
    </xf>
    <xf numFmtId="0" fontId="34" fillId="0" borderId="5" xfId="0" applyFont="1" applyBorder="1" applyProtection="1">
      <protection locked="0"/>
    </xf>
    <xf numFmtId="0" fontId="35" fillId="0" borderId="5" xfId="0" applyFont="1" applyBorder="1" applyProtection="1">
      <protection locked="0"/>
    </xf>
    <xf numFmtId="0" fontId="0" fillId="8" borderId="4" xfId="0" applyFill="1" applyBorder="1" applyAlignment="1" applyProtection="1">
      <alignment wrapText="1"/>
      <protection locked="0"/>
    </xf>
    <xf numFmtId="0" fontId="0" fillId="16" borderId="5" xfId="0" applyFill="1" applyBorder="1" applyProtection="1">
      <protection locked="0"/>
    </xf>
    <xf numFmtId="0" fontId="0" fillId="16" borderId="3" xfId="0" applyFill="1" applyBorder="1" applyProtection="1">
      <protection locked="0"/>
    </xf>
    <xf numFmtId="0" fontId="26" fillId="0" borderId="50" xfId="0" applyFont="1" applyBorder="1" applyAlignment="1" applyProtection="1">
      <alignment horizontal="center" vertical="center" wrapText="1"/>
      <protection locked="0"/>
    </xf>
    <xf numFmtId="3" fontId="52" fillId="8" borderId="27" xfId="1" applyNumberFormat="1" applyFont="1" applyFill="1" applyBorder="1" applyAlignment="1" applyProtection="1">
      <alignment vertical="top"/>
      <protection locked="0"/>
    </xf>
    <xf numFmtId="3" fontId="52" fillId="8" borderId="25" xfId="1" applyNumberFormat="1" applyFont="1" applyFill="1" applyBorder="1" applyAlignment="1" applyProtection="1">
      <alignment vertical="top"/>
      <protection locked="0"/>
    </xf>
    <xf numFmtId="3" fontId="52" fillId="8" borderId="35" xfId="1" applyNumberFormat="1" applyFont="1" applyFill="1" applyBorder="1" applyAlignment="1" applyProtection="1">
      <alignment vertical="top"/>
      <protection locked="0"/>
    </xf>
    <xf numFmtId="0" fontId="1" fillId="3" borderId="0" xfId="0" applyFont="1" applyFill="1" applyAlignment="1">
      <alignment horizontal="right" vertical="center" wrapText="1"/>
    </xf>
    <xf numFmtId="3" fontId="22" fillId="11" borderId="0" xfId="0" applyNumberFormat="1" applyFont="1" applyFill="1" applyAlignment="1">
      <alignment horizontal="center"/>
    </xf>
    <xf numFmtId="3" fontId="21" fillId="11" borderId="29" xfId="0" applyNumberFormat="1" applyFont="1" applyFill="1" applyBorder="1" applyAlignment="1">
      <alignment horizontal="center"/>
    </xf>
    <xf numFmtId="3" fontId="52" fillId="14" borderId="65" xfId="1" applyNumberFormat="1" applyFont="1" applyFill="1" applyBorder="1" applyAlignment="1">
      <alignment horizontal="right" vertical="top"/>
    </xf>
    <xf numFmtId="0" fontId="0" fillId="21" borderId="3" xfId="0" applyFill="1" applyBorder="1" applyProtection="1">
      <protection locked="0"/>
    </xf>
    <xf numFmtId="4" fontId="21" fillId="21" borderId="18" xfId="0" applyNumberFormat="1" applyFont="1" applyFill="1" applyBorder="1" applyAlignment="1" applyProtection="1">
      <alignment horizontal="center"/>
      <protection locked="0"/>
    </xf>
    <xf numFmtId="0" fontId="34" fillId="21" borderId="5" xfId="0" applyFont="1" applyFill="1" applyBorder="1" applyProtection="1">
      <protection locked="0"/>
    </xf>
    <xf numFmtId="166" fontId="4" fillId="0" borderId="0" xfId="0" applyNumberFormat="1" applyFont="1" applyAlignment="1">
      <alignment horizontal="center"/>
    </xf>
    <xf numFmtId="0" fontId="0" fillId="0" borderId="0" xfId="0" applyAlignment="1">
      <alignment vertical="top" wrapText="1"/>
    </xf>
    <xf numFmtId="0" fontId="8" fillId="20" borderId="7" xfId="0" applyFont="1" applyFill="1" applyBorder="1"/>
    <xf numFmtId="3" fontId="8" fillId="20" borderId="7" xfId="0" applyNumberFormat="1" applyFont="1" applyFill="1" applyBorder="1"/>
    <xf numFmtId="3" fontId="52" fillId="14" borderId="4" xfId="1" applyNumberFormat="1" applyFont="1" applyFill="1" applyBorder="1" applyAlignment="1">
      <alignment horizontal="left" vertical="top" indent="3"/>
    </xf>
    <xf numFmtId="0" fontId="8" fillId="6" borderId="27" xfId="0" applyFont="1" applyFill="1" applyBorder="1"/>
    <xf numFmtId="0" fontId="8" fillId="6" borderId="25" xfId="0" applyFont="1" applyFill="1" applyBorder="1"/>
    <xf numFmtId="0" fontId="8" fillId="6" borderId="35" xfId="0" applyFont="1" applyFill="1" applyBorder="1"/>
    <xf numFmtId="3" fontId="8" fillId="6" borderId="25" xfId="0" applyNumberFormat="1" applyFont="1" applyFill="1" applyBorder="1"/>
    <xf numFmtId="0" fontId="8" fillId="6" borderId="21" xfId="0" applyFont="1" applyFill="1" applyBorder="1"/>
    <xf numFmtId="0" fontId="8" fillId="6" borderId="20" xfId="0" applyFont="1" applyFill="1" applyBorder="1"/>
    <xf numFmtId="165" fontId="8" fillId="6" borderId="25" xfId="0" applyNumberFormat="1" applyFont="1" applyFill="1" applyBorder="1"/>
    <xf numFmtId="4" fontId="0" fillId="0" borderId="4" xfId="0" applyNumberFormat="1" applyBorder="1" applyProtection="1">
      <protection locked="0"/>
    </xf>
    <xf numFmtId="0" fontId="8" fillId="6" borderId="4" xfId="0" applyFont="1" applyFill="1" applyBorder="1"/>
    <xf numFmtId="0" fontId="29" fillId="15" borderId="4" xfId="0" applyFont="1" applyFill="1" applyBorder="1" applyAlignment="1">
      <alignment horizontal="left" vertical="center" wrapText="1" readingOrder="1"/>
    </xf>
    <xf numFmtId="0" fontId="5" fillId="4" borderId="4" xfId="0" applyFont="1" applyFill="1" applyBorder="1" applyAlignment="1">
      <alignment vertical="center" wrapText="1"/>
    </xf>
    <xf numFmtId="38" fontId="8" fillId="6" borderId="4" xfId="0" applyNumberFormat="1" applyFont="1" applyFill="1" applyBorder="1"/>
    <xf numFmtId="4" fontId="25" fillId="8" borderId="31" xfId="0" applyNumberFormat="1" applyFont="1" applyFill="1" applyBorder="1" applyAlignment="1">
      <alignment horizontal="right" vertical="center"/>
    </xf>
    <xf numFmtId="4" fontId="25" fillId="8" borderId="9" xfId="0" applyNumberFormat="1" applyFont="1" applyFill="1" applyBorder="1" applyAlignment="1">
      <alignment horizontal="right" vertical="center"/>
    </xf>
    <xf numFmtId="4" fontId="11" fillId="3" borderId="9" xfId="0" applyNumberFormat="1" applyFont="1" applyFill="1" applyBorder="1" applyAlignment="1">
      <alignment horizontal="right" vertical="center"/>
    </xf>
    <xf numFmtId="4" fontId="25" fillId="8" borderId="72" xfId="0" applyNumberFormat="1" applyFont="1" applyFill="1" applyBorder="1" applyAlignment="1">
      <alignment horizontal="right" vertical="center"/>
    </xf>
    <xf numFmtId="4" fontId="11" fillId="3" borderId="73" xfId="0" applyNumberFormat="1" applyFont="1" applyFill="1" applyBorder="1" applyAlignment="1">
      <alignment horizontal="right" vertical="center"/>
    </xf>
    <xf numFmtId="4" fontId="11" fillId="3" borderId="74" xfId="0" applyNumberFormat="1" applyFont="1" applyFill="1" applyBorder="1" applyAlignment="1">
      <alignment horizontal="right" vertical="center"/>
    </xf>
    <xf numFmtId="3" fontId="52" fillId="14" borderId="0" xfId="1" applyNumberFormat="1" applyFont="1" applyFill="1" applyBorder="1" applyAlignment="1">
      <alignment horizontal="left" vertical="top" indent="3"/>
    </xf>
    <xf numFmtId="0" fontId="0" fillId="8" borderId="0" xfId="0" applyFill="1" applyAlignment="1" applyProtection="1">
      <alignment horizontal="center"/>
      <protection locked="0"/>
    </xf>
    <xf numFmtId="0" fontId="0" fillId="8" borderId="6" xfId="0" applyFill="1" applyBorder="1" applyAlignment="1" applyProtection="1">
      <alignment horizontal="center"/>
      <protection locked="0"/>
    </xf>
    <xf numFmtId="4" fontId="21" fillId="11" borderId="0" xfId="0" applyNumberFormat="1" applyFont="1" applyFill="1" applyAlignment="1">
      <alignment horizontal="center"/>
    </xf>
    <xf numFmtId="3" fontId="52" fillId="14" borderId="75" xfId="1" applyNumberFormat="1" applyFont="1" applyFill="1" applyBorder="1" applyAlignment="1">
      <alignment horizontal="left" vertical="top" indent="3"/>
    </xf>
    <xf numFmtId="4" fontId="21" fillId="11" borderId="0" xfId="0" applyNumberFormat="1" applyFont="1" applyFill="1" applyAlignment="1">
      <alignment horizontal="right" vertical="center"/>
    </xf>
    <xf numFmtId="0" fontId="0" fillId="20" borderId="0" xfId="0" applyFill="1" applyAlignment="1">
      <alignment horizontal="left" wrapText="1"/>
    </xf>
    <xf numFmtId="167" fontId="69" fillId="0" borderId="4" xfId="4" applyNumberFormat="1" applyFont="1" applyFill="1" applyBorder="1" applyAlignment="1">
      <alignment horizontal="center" vertical="center"/>
    </xf>
    <xf numFmtId="0" fontId="69" fillId="0" borderId="4" xfId="0" applyFont="1" applyBorder="1" applyAlignment="1">
      <alignment vertical="center" wrapText="1"/>
    </xf>
    <xf numFmtId="0" fontId="0" fillId="0" borderId="4" xfId="0" applyBorder="1"/>
    <xf numFmtId="0" fontId="0" fillId="10" borderId="4" xfId="0" applyFill="1" applyBorder="1" applyAlignment="1">
      <alignment vertical="top" wrapText="1"/>
    </xf>
    <xf numFmtId="0" fontId="0" fillId="10" borderId="4" xfId="0" applyFill="1" applyBorder="1" applyAlignment="1">
      <alignment horizontal="center" vertical="center" wrapText="1"/>
    </xf>
    <xf numFmtId="0" fontId="0" fillId="0" borderId="0" xfId="0" applyAlignment="1">
      <alignment wrapText="1"/>
    </xf>
    <xf numFmtId="4" fontId="21" fillId="23" borderId="18" xfId="0" applyNumberFormat="1" applyFont="1" applyFill="1" applyBorder="1" applyAlignment="1">
      <alignment horizontal="center"/>
    </xf>
    <xf numFmtId="4" fontId="21" fillId="23" borderId="44" xfId="0" applyNumberFormat="1" applyFont="1" applyFill="1" applyBorder="1" applyAlignment="1">
      <alignment horizontal="center"/>
    </xf>
    <xf numFmtId="3" fontId="21" fillId="23" borderId="18" xfId="0" applyNumberFormat="1" applyFont="1" applyFill="1" applyBorder="1" applyAlignment="1">
      <alignment horizontal="center"/>
    </xf>
    <xf numFmtId="3" fontId="22" fillId="23" borderId="18" xfId="0" applyNumberFormat="1" applyFont="1" applyFill="1" applyBorder="1" applyAlignment="1">
      <alignment horizontal="center"/>
    </xf>
    <xf numFmtId="3" fontId="22" fillId="23" borderId="0" xfId="0" applyNumberFormat="1" applyFont="1" applyFill="1" applyAlignment="1">
      <alignment horizontal="center"/>
    </xf>
    <xf numFmtId="3" fontId="21" fillId="23" borderId="29" xfId="0" applyNumberFormat="1" applyFont="1" applyFill="1" applyBorder="1" applyAlignment="1">
      <alignment horizontal="center"/>
    </xf>
    <xf numFmtId="3" fontId="27" fillId="23" borderId="29" xfId="0" applyNumberFormat="1" applyFont="1" applyFill="1" applyBorder="1" applyAlignment="1">
      <alignment horizontal="center"/>
    </xf>
    <xf numFmtId="0" fontId="5" fillId="4" borderId="0" xfId="0" applyFont="1" applyFill="1" applyAlignment="1">
      <alignment vertical="center" wrapText="1"/>
    </xf>
    <xf numFmtId="38" fontId="5" fillId="8" borderId="0" xfId="0" applyNumberFormat="1" applyFont="1" applyFill="1" applyAlignment="1">
      <alignment vertical="center" wrapText="1"/>
    </xf>
    <xf numFmtId="0" fontId="5" fillId="8" borderId="0" xfId="0" applyFont="1" applyFill="1" applyAlignment="1">
      <alignment vertical="center" wrapText="1"/>
    </xf>
    <xf numFmtId="38" fontId="29" fillId="8" borderId="0" xfId="3" applyNumberFormat="1" applyFont="1" applyFill="1" applyBorder="1" applyAlignment="1">
      <alignment vertical="center" wrapText="1" readingOrder="1"/>
    </xf>
    <xf numFmtId="38" fontId="8" fillId="6" borderId="27" xfId="0" applyNumberFormat="1" applyFont="1" applyFill="1" applyBorder="1"/>
    <xf numFmtId="0" fontId="5" fillId="4" borderId="27" xfId="0" applyFont="1" applyFill="1" applyBorder="1" applyAlignment="1">
      <alignment vertical="center" wrapText="1"/>
    </xf>
    <xf numFmtId="4" fontId="0" fillId="0" borderId="27" xfId="0" applyNumberFormat="1" applyBorder="1" applyProtection="1">
      <protection locked="0"/>
    </xf>
    <xf numFmtId="4" fontId="0" fillId="0" borderId="0" xfId="0" applyNumberFormat="1" applyProtection="1">
      <protection locked="0"/>
    </xf>
    <xf numFmtId="0" fontId="53" fillId="15" borderId="36" xfId="0" applyFont="1" applyFill="1" applyBorder="1" applyAlignment="1">
      <alignment horizontal="center"/>
    </xf>
    <xf numFmtId="4" fontId="21" fillId="20" borderId="18" xfId="0" applyNumberFormat="1" applyFont="1" applyFill="1" applyBorder="1" applyAlignment="1">
      <alignment horizontal="center"/>
    </xf>
    <xf numFmtId="0" fontId="10" fillId="20" borderId="27" xfId="0" applyFont="1" applyFill="1" applyBorder="1" applyAlignment="1">
      <alignment horizontal="center"/>
    </xf>
    <xf numFmtId="3" fontId="10" fillId="20" borderId="59" xfId="0" applyNumberFormat="1" applyFont="1" applyFill="1" applyBorder="1" applyAlignment="1">
      <alignment horizontal="right"/>
    </xf>
    <xf numFmtId="4" fontId="21" fillId="20" borderId="63" xfId="0" applyNumberFormat="1" applyFont="1" applyFill="1" applyBorder="1" applyAlignment="1">
      <alignment horizontal="center"/>
    </xf>
    <xf numFmtId="3" fontId="10" fillId="20" borderId="56" xfId="0" applyNumberFormat="1" applyFont="1" applyFill="1" applyBorder="1" applyAlignment="1">
      <alignment horizontal="right"/>
    </xf>
    <xf numFmtId="165" fontId="42" fillId="20" borderId="4" xfId="0" applyNumberFormat="1" applyFont="1" applyFill="1" applyBorder="1" applyAlignment="1">
      <alignment horizontal="center" vertical="center"/>
    </xf>
    <xf numFmtId="38" fontId="29" fillId="20" borderId="4" xfId="3" applyNumberFormat="1" applyFont="1" applyFill="1" applyBorder="1" applyAlignment="1">
      <alignment vertical="center" wrapText="1" readingOrder="1"/>
    </xf>
    <xf numFmtId="38" fontId="45" fillId="20" borderId="4" xfId="0" applyNumberFormat="1" applyFont="1" applyFill="1" applyBorder="1" applyAlignment="1">
      <alignment vertical="center" wrapText="1" readingOrder="1"/>
    </xf>
    <xf numFmtId="0" fontId="19" fillId="20" borderId="4" xfId="0" applyFont="1" applyFill="1" applyBorder="1" applyAlignment="1">
      <alignment vertical="center"/>
    </xf>
    <xf numFmtId="4" fontId="21" fillId="20" borderId="44" xfId="0" applyNumberFormat="1" applyFont="1" applyFill="1" applyBorder="1" applyAlignment="1">
      <alignment horizontal="center"/>
    </xf>
    <xf numFmtId="4" fontId="21" fillId="20" borderId="47" xfId="0" applyNumberFormat="1" applyFont="1" applyFill="1" applyBorder="1" applyAlignment="1">
      <alignment horizontal="center"/>
    </xf>
    <xf numFmtId="4" fontId="21" fillId="20" borderId="48" xfId="0" applyNumberFormat="1" applyFont="1" applyFill="1" applyBorder="1" applyAlignment="1">
      <alignment horizontal="center"/>
    </xf>
    <xf numFmtId="4" fontId="21" fillId="20" borderId="49" xfId="0" applyNumberFormat="1" applyFont="1" applyFill="1" applyBorder="1" applyAlignment="1">
      <alignment horizontal="center"/>
    </xf>
    <xf numFmtId="4" fontId="21" fillId="20" borderId="51" xfId="0" applyNumberFormat="1" applyFont="1" applyFill="1" applyBorder="1" applyAlignment="1">
      <alignment horizontal="center"/>
    </xf>
    <xf numFmtId="0" fontId="0" fillId="20" borderId="55" xfId="0" applyFill="1" applyBorder="1"/>
    <xf numFmtId="3" fontId="27" fillId="20" borderId="54" xfId="0" applyNumberFormat="1" applyFont="1" applyFill="1" applyBorder="1" applyAlignment="1">
      <alignment horizontal="center"/>
    </xf>
    <xf numFmtId="0" fontId="4" fillId="20" borderId="55" xfId="0" applyFont="1" applyFill="1" applyBorder="1" applyAlignment="1">
      <alignment horizontal="right"/>
    </xf>
    <xf numFmtId="4" fontId="11" fillId="20" borderId="53" xfId="0" applyNumberFormat="1" applyFont="1" applyFill="1" applyBorder="1" applyAlignment="1">
      <alignment horizontal="right"/>
    </xf>
    <xf numFmtId="0" fontId="1" fillId="20" borderId="55" xfId="0" applyFont="1" applyFill="1" applyBorder="1" applyAlignment="1">
      <alignment horizontal="right"/>
    </xf>
    <xf numFmtId="4" fontId="22" fillId="20" borderId="47" xfId="0" applyNumberFormat="1" applyFont="1" applyFill="1" applyBorder="1" applyAlignment="1">
      <alignment horizontal="center"/>
    </xf>
    <xf numFmtId="3" fontId="22" fillId="20" borderId="44" xfId="0" applyNumberFormat="1" applyFont="1" applyFill="1" applyBorder="1" applyAlignment="1">
      <alignment horizontal="center"/>
    </xf>
    <xf numFmtId="3" fontId="22" fillId="20" borderId="18" xfId="0" applyNumberFormat="1" applyFont="1" applyFill="1" applyBorder="1" applyAlignment="1">
      <alignment horizontal="center"/>
    </xf>
    <xf numFmtId="0" fontId="10" fillId="20" borderId="55" xfId="0" applyFont="1" applyFill="1" applyBorder="1"/>
    <xf numFmtId="38" fontId="45" fillId="20" borderId="27" xfId="0" applyNumberFormat="1" applyFont="1" applyFill="1" applyBorder="1" applyAlignment="1">
      <alignment vertical="center" wrapText="1" readingOrder="1"/>
    </xf>
    <xf numFmtId="38" fontId="45" fillId="20" borderId="0" xfId="0" applyNumberFormat="1" applyFont="1" applyFill="1" applyAlignment="1">
      <alignment vertical="center" wrapText="1" readingOrder="1"/>
    </xf>
    <xf numFmtId="38" fontId="29" fillId="20" borderId="0" xfId="3" applyNumberFormat="1" applyFont="1" applyFill="1" applyBorder="1" applyAlignment="1">
      <alignment vertical="center" wrapText="1" readingOrder="1"/>
    </xf>
    <xf numFmtId="38" fontId="8" fillId="20" borderId="0" xfId="3" applyNumberFormat="1" applyFont="1" applyFill="1" applyBorder="1" applyAlignment="1">
      <alignment vertical="center" wrapText="1" readingOrder="1"/>
    </xf>
    <xf numFmtId="4" fontId="53" fillId="20" borderId="15" xfId="2" applyNumberFormat="1" applyFont="1" applyFill="1" applyBorder="1" applyAlignment="1">
      <alignment vertical="top"/>
    </xf>
    <xf numFmtId="4" fontId="52" fillId="20" borderId="15" xfId="2" applyNumberFormat="1" applyFont="1" applyFill="1" applyBorder="1" applyAlignment="1" applyProtection="1">
      <alignment vertical="top"/>
      <protection locked="0"/>
    </xf>
    <xf numFmtId="4" fontId="52" fillId="20" borderId="15" xfId="2" applyNumberFormat="1" applyFont="1" applyFill="1" applyBorder="1" applyAlignment="1">
      <alignment vertical="top"/>
    </xf>
    <xf numFmtId="0" fontId="19" fillId="20" borderId="11" xfId="0" applyFont="1" applyFill="1" applyBorder="1" applyAlignment="1">
      <alignment horizontal="center" vertical="center"/>
    </xf>
    <xf numFmtId="165" fontId="11" fillId="20" borderId="12" xfId="0" applyNumberFormat="1" applyFont="1" applyFill="1" applyBorder="1" applyAlignment="1">
      <alignment vertical="center"/>
    </xf>
    <xf numFmtId="3" fontId="53" fillId="20" borderId="15" xfId="2" applyNumberFormat="1" applyFont="1" applyFill="1" applyBorder="1" applyAlignment="1">
      <alignment vertical="top"/>
    </xf>
    <xf numFmtId="3" fontId="53" fillId="20" borderId="15" xfId="2" applyNumberFormat="1" applyFont="1" applyFill="1" applyBorder="1" applyAlignment="1">
      <alignment horizontal="center" vertical="top"/>
    </xf>
    <xf numFmtId="3" fontId="52" fillId="20" borderId="15" xfId="2" applyNumberFormat="1" applyFont="1" applyFill="1" applyBorder="1" applyAlignment="1">
      <alignment vertical="top"/>
    </xf>
    <xf numFmtId="4" fontId="21" fillId="20" borderId="9" xfId="0" applyNumberFormat="1" applyFont="1" applyFill="1" applyBorder="1" applyAlignment="1">
      <alignment horizontal="right" vertical="center"/>
    </xf>
    <xf numFmtId="4" fontId="11" fillId="8" borderId="72" xfId="0" applyNumberFormat="1" applyFont="1" applyFill="1" applyBorder="1" applyAlignment="1">
      <alignment horizontal="right" vertical="center"/>
    </xf>
    <xf numFmtId="4" fontId="72" fillId="8" borderId="72" xfId="0" applyNumberFormat="1" applyFont="1" applyFill="1" applyBorder="1" applyAlignment="1">
      <alignment horizontal="right" vertical="center"/>
    </xf>
    <xf numFmtId="0" fontId="21" fillId="0" borderId="0" xfId="0" applyFont="1"/>
    <xf numFmtId="0" fontId="21" fillId="0" borderId="0" xfId="0" applyFont="1" applyAlignment="1">
      <alignment wrapText="1"/>
    </xf>
    <xf numFmtId="0" fontId="4" fillId="0" borderId="0" xfId="0" applyFont="1" applyAlignment="1">
      <alignment vertical="center"/>
    </xf>
    <xf numFmtId="0" fontId="1" fillId="0" borderId="0" xfId="0" applyFont="1" applyAlignment="1">
      <alignment vertical="center" wrapText="1"/>
    </xf>
    <xf numFmtId="0" fontId="1" fillId="0" borderId="0" xfId="0" applyFont="1" applyAlignment="1">
      <alignment vertical="center"/>
    </xf>
    <xf numFmtId="0" fontId="4" fillId="0" borderId="0" xfId="0" applyFont="1" applyAlignment="1">
      <alignment vertical="center" wrapText="1"/>
    </xf>
    <xf numFmtId="0" fontId="76" fillId="0" borderId="0" xfId="0" applyFont="1" applyAlignment="1">
      <alignment vertical="center" wrapText="1"/>
    </xf>
    <xf numFmtId="0" fontId="76" fillId="0" borderId="0" xfId="0" applyFont="1" applyAlignment="1">
      <alignment vertical="center"/>
    </xf>
    <xf numFmtId="0" fontId="1" fillId="0" borderId="0" xfId="0" applyFont="1" applyAlignment="1">
      <alignment wrapText="1"/>
    </xf>
    <xf numFmtId="0" fontId="4" fillId="0" borderId="0" xfId="0" applyFont="1" applyAlignment="1">
      <alignment wrapText="1"/>
    </xf>
    <xf numFmtId="0" fontId="1" fillId="0" borderId="0" xfId="0" applyFont="1"/>
    <xf numFmtId="0" fontId="1" fillId="0" borderId="0" xfId="0" applyFont="1" applyAlignment="1">
      <alignment horizontal="left" vertical="center"/>
    </xf>
    <xf numFmtId="0" fontId="4" fillId="0" borderId="0" xfId="0" applyFont="1" applyAlignment="1">
      <alignment horizontal="left"/>
    </xf>
    <xf numFmtId="0" fontId="76" fillId="0" borderId="0" xfId="0" applyFont="1" applyAlignment="1">
      <alignment wrapText="1"/>
    </xf>
    <xf numFmtId="0" fontId="76" fillId="0" borderId="0" xfId="0" applyFont="1" applyAlignment="1">
      <alignment horizontal="left"/>
    </xf>
    <xf numFmtId="0" fontId="77" fillId="0" borderId="0" xfId="0" applyFont="1" applyAlignment="1">
      <alignment vertical="center" wrapText="1"/>
    </xf>
    <xf numFmtId="0" fontId="0" fillId="0" borderId="0" xfId="0" applyAlignment="1">
      <alignment vertical="center"/>
    </xf>
    <xf numFmtId="3" fontId="22" fillId="14" borderId="76" xfId="1" applyNumberFormat="1" applyFont="1" applyFill="1" applyBorder="1" applyAlignment="1">
      <alignment horizontal="left" vertical="center" wrapText="1"/>
    </xf>
    <xf numFmtId="0" fontId="21" fillId="0" borderId="76" xfId="0" applyFont="1" applyBorder="1" applyAlignment="1">
      <alignment vertical="center" wrapText="1"/>
    </xf>
    <xf numFmtId="0" fontId="21" fillId="0" borderId="76" xfId="0" applyFont="1" applyBorder="1" applyAlignment="1">
      <alignment vertical="center"/>
    </xf>
    <xf numFmtId="4" fontId="21" fillId="0" borderId="76" xfId="0" applyNumberFormat="1" applyFont="1" applyBorder="1" applyAlignment="1" applyProtection="1">
      <alignment horizontal="left" vertical="center" indent="1"/>
      <protection locked="0"/>
    </xf>
    <xf numFmtId="0" fontId="21" fillId="0" borderId="76" xfId="0" applyFont="1" applyBorder="1" applyAlignment="1" applyProtection="1">
      <alignment horizontal="left" vertical="center" indent="1"/>
      <protection locked="0"/>
    </xf>
    <xf numFmtId="0" fontId="0" fillId="25" borderId="0" xfId="0" applyFill="1"/>
    <xf numFmtId="0" fontId="0" fillId="25" borderId="0" xfId="0" applyFill="1" applyAlignment="1">
      <alignment horizontal="center"/>
    </xf>
    <xf numFmtId="3" fontId="74" fillId="24" borderId="7" xfId="0" applyNumberFormat="1" applyFont="1" applyFill="1" applyBorder="1" applyAlignment="1">
      <alignment vertical="center"/>
    </xf>
    <xf numFmtId="0" fontId="74" fillId="25" borderId="0" xfId="0" applyFont="1" applyFill="1" applyAlignment="1">
      <alignment vertical="center"/>
    </xf>
    <xf numFmtId="0" fontId="73" fillId="25" borderId="0" xfId="0" applyFont="1" applyFill="1" applyAlignment="1">
      <alignment vertical="center"/>
    </xf>
    <xf numFmtId="0" fontId="73" fillId="25" borderId="0" xfId="0" applyFont="1" applyFill="1" applyAlignment="1">
      <alignment horizontal="center" vertical="center"/>
    </xf>
    <xf numFmtId="0" fontId="73" fillId="25" borderId="0" xfId="0" applyFont="1" applyFill="1" applyAlignment="1">
      <alignment horizontal="center"/>
    </xf>
    <xf numFmtId="0" fontId="0" fillId="0" borderId="0" xfId="0" applyAlignment="1">
      <alignment horizontal="center" vertical="center"/>
    </xf>
    <xf numFmtId="0" fontId="0" fillId="24" borderId="0" xfId="0" applyFill="1"/>
    <xf numFmtId="3" fontId="11" fillId="14" borderId="81" xfId="1" applyNumberFormat="1" applyFont="1" applyFill="1" applyBorder="1" applyAlignment="1">
      <alignment horizontal="left" vertical="top" indent="1"/>
    </xf>
    <xf numFmtId="3" fontId="11" fillId="14" borderId="83" xfId="1" applyNumberFormat="1" applyFont="1" applyFill="1" applyBorder="1" applyAlignment="1">
      <alignment horizontal="left" vertical="top" indent="1"/>
    </xf>
    <xf numFmtId="0" fontId="29" fillId="15" borderId="85" xfId="0" applyFont="1" applyFill="1" applyBorder="1" applyAlignment="1">
      <alignment horizontal="center"/>
    </xf>
    <xf numFmtId="0" fontId="53" fillId="15" borderId="86" xfId="0" applyFont="1" applyFill="1" applyBorder="1" applyAlignment="1">
      <alignment horizontal="center"/>
    </xf>
    <xf numFmtId="0" fontId="61" fillId="3" borderId="87" xfId="0" applyFont="1" applyFill="1" applyBorder="1"/>
    <xf numFmtId="4" fontId="25" fillId="8" borderId="88" xfId="0" applyNumberFormat="1" applyFont="1" applyFill="1" applyBorder="1" applyAlignment="1">
      <alignment horizontal="right" vertical="center"/>
    </xf>
    <xf numFmtId="0" fontId="61" fillId="3" borderId="89" xfId="0" applyFont="1" applyFill="1" applyBorder="1"/>
    <xf numFmtId="0" fontId="61" fillId="3" borderId="90" xfId="0" applyFont="1" applyFill="1" applyBorder="1"/>
    <xf numFmtId="4" fontId="25" fillId="8" borderId="91" xfId="0" applyNumberFormat="1" applyFont="1" applyFill="1" applyBorder="1" applyAlignment="1">
      <alignment horizontal="right" vertical="center"/>
    </xf>
    <xf numFmtId="4" fontId="25" fillId="8" borderId="92" xfId="0" applyNumberFormat="1" applyFont="1" applyFill="1" applyBorder="1" applyAlignment="1">
      <alignment horizontal="right" vertical="center"/>
    </xf>
    <xf numFmtId="3" fontId="11" fillId="14" borderId="93" xfId="1" applyNumberFormat="1" applyFont="1" applyFill="1" applyBorder="1" applyAlignment="1">
      <alignment horizontal="left" vertical="top" indent="1"/>
    </xf>
    <xf numFmtId="4" fontId="11" fillId="3" borderId="94" xfId="0" applyNumberFormat="1" applyFont="1" applyFill="1" applyBorder="1" applyAlignment="1">
      <alignment horizontal="right" vertical="center"/>
    </xf>
    <xf numFmtId="3" fontId="11" fillId="14" borderId="95" xfId="1" applyNumberFormat="1" applyFont="1" applyFill="1" applyBorder="1" applyAlignment="1">
      <alignment horizontal="left" vertical="top" indent="1"/>
    </xf>
    <xf numFmtId="4" fontId="11" fillId="3" borderId="96" xfId="0" applyNumberFormat="1" applyFont="1" applyFill="1" applyBorder="1" applyAlignment="1">
      <alignment horizontal="right" vertical="center"/>
    </xf>
    <xf numFmtId="3" fontId="11" fillId="14" borderId="97" xfId="1" applyNumberFormat="1" applyFont="1" applyFill="1" applyBorder="1" applyAlignment="1">
      <alignment horizontal="left" vertical="top" indent="1"/>
    </xf>
    <xf numFmtId="4" fontId="11" fillId="3" borderId="98" xfId="0" applyNumberFormat="1" applyFont="1" applyFill="1" applyBorder="1" applyAlignment="1">
      <alignment horizontal="right" vertical="center"/>
    </xf>
    <xf numFmtId="3" fontId="11" fillId="14" borderId="100" xfId="1" applyNumberFormat="1" applyFont="1" applyFill="1" applyBorder="1" applyAlignment="1">
      <alignment horizontal="left" vertical="top" indent="1"/>
    </xf>
    <xf numFmtId="3" fontId="11" fillId="14" borderId="101" xfId="1" applyNumberFormat="1" applyFont="1" applyFill="1" applyBorder="1" applyAlignment="1">
      <alignment horizontal="left" vertical="top" indent="1"/>
    </xf>
    <xf numFmtId="0" fontId="0" fillId="24" borderId="99" xfId="0" applyFill="1" applyBorder="1"/>
    <xf numFmtId="0" fontId="0" fillId="24" borderId="84" xfId="0" applyFill="1" applyBorder="1"/>
    <xf numFmtId="4" fontId="11" fillId="8" borderId="92" xfId="0" applyNumberFormat="1" applyFont="1" applyFill="1" applyBorder="1" applyAlignment="1">
      <alignment horizontal="right" vertical="center"/>
    </xf>
    <xf numFmtId="0" fontId="71" fillId="3" borderId="90" xfId="0" applyFont="1" applyFill="1" applyBorder="1" applyAlignment="1">
      <alignment horizontal="right"/>
    </xf>
    <xf numFmtId="4" fontId="72" fillId="8" borderId="92" xfId="0" applyNumberFormat="1" applyFont="1" applyFill="1" applyBorder="1" applyAlignment="1">
      <alignment horizontal="right" vertical="center"/>
    </xf>
    <xf numFmtId="3" fontId="11" fillId="14" borderId="102" xfId="1" applyNumberFormat="1" applyFont="1" applyFill="1" applyBorder="1" applyAlignment="1">
      <alignment horizontal="left" vertical="top" indent="1"/>
    </xf>
    <xf numFmtId="0" fontId="22" fillId="15" borderId="105" xfId="0" applyFont="1" applyFill="1" applyBorder="1" applyAlignment="1">
      <alignment horizontal="center" vertical="center"/>
    </xf>
    <xf numFmtId="0" fontId="22" fillId="15" borderId="106" xfId="0" applyFont="1" applyFill="1" applyBorder="1" applyAlignment="1">
      <alignment horizontal="center" vertical="center"/>
    </xf>
    <xf numFmtId="0" fontId="22" fillId="15" borderId="107" xfId="0" applyFont="1" applyFill="1" applyBorder="1" applyAlignment="1">
      <alignment horizontal="center" vertical="center"/>
    </xf>
    <xf numFmtId="3" fontId="53" fillId="20" borderId="108" xfId="2" applyNumberFormat="1" applyFont="1" applyFill="1" applyBorder="1" applyAlignment="1">
      <alignment horizontal="center" vertical="top"/>
    </xf>
    <xf numFmtId="3" fontId="53" fillId="20" borderId="108" xfId="2" applyNumberFormat="1" applyFont="1" applyFill="1" applyBorder="1" applyAlignment="1">
      <alignment vertical="top"/>
    </xf>
    <xf numFmtId="3" fontId="52" fillId="14" borderId="83" xfId="1" applyNumberFormat="1" applyFont="1" applyFill="1" applyBorder="1" applyAlignment="1">
      <alignment horizontal="left" vertical="top" indent="3"/>
    </xf>
    <xf numFmtId="4" fontId="21" fillId="20" borderId="98" xfId="0" applyNumberFormat="1" applyFont="1" applyFill="1" applyBorder="1" applyAlignment="1">
      <alignment horizontal="right" vertical="center"/>
    </xf>
    <xf numFmtId="3" fontId="52" fillId="20" borderId="108" xfId="2" applyNumberFormat="1" applyFont="1" applyFill="1" applyBorder="1" applyAlignment="1">
      <alignment vertical="top"/>
    </xf>
    <xf numFmtId="3" fontId="52" fillId="14" borderId="109" xfId="1" applyNumberFormat="1" applyFont="1" applyFill="1" applyBorder="1" applyAlignment="1">
      <alignment horizontal="left" vertical="top" indent="3"/>
    </xf>
    <xf numFmtId="3" fontId="52" fillId="20" borderId="110" xfId="2" applyNumberFormat="1" applyFont="1" applyFill="1" applyBorder="1" applyAlignment="1">
      <alignment vertical="top"/>
    </xf>
    <xf numFmtId="3" fontId="52" fillId="20" borderId="111" xfId="2" applyNumberFormat="1" applyFont="1" applyFill="1" applyBorder="1" applyAlignment="1">
      <alignment vertical="top"/>
    </xf>
    <xf numFmtId="3" fontId="74" fillId="24" borderId="0" xfId="0" applyNumberFormat="1" applyFont="1" applyFill="1" applyAlignment="1">
      <alignment vertical="center"/>
    </xf>
    <xf numFmtId="0" fontId="2" fillId="15" borderId="112" xfId="0" applyFont="1" applyFill="1" applyBorder="1" applyAlignment="1">
      <alignment horizontal="center" vertical="center"/>
    </xf>
    <xf numFmtId="0" fontId="22" fillId="15" borderId="113" xfId="0" applyFont="1" applyFill="1" applyBorder="1" applyAlignment="1">
      <alignment horizontal="center" vertical="center"/>
    </xf>
    <xf numFmtId="4" fontId="53" fillId="20" borderId="83" xfId="2" applyNumberFormat="1" applyFont="1" applyFill="1" applyBorder="1" applyAlignment="1">
      <alignment vertical="top"/>
    </xf>
    <xf numFmtId="4" fontId="53" fillId="20" borderId="108" xfId="2" applyNumberFormat="1" applyFont="1" applyFill="1" applyBorder="1" applyAlignment="1">
      <alignment vertical="top"/>
    </xf>
    <xf numFmtId="3" fontId="52" fillId="0" borderId="100" xfId="1" applyNumberFormat="1" applyFont="1" applyFill="1" applyBorder="1" applyAlignment="1" applyProtection="1">
      <alignment horizontal="left" vertical="top" indent="3"/>
      <protection locked="0"/>
    </xf>
    <xf numFmtId="4" fontId="21" fillId="8" borderId="98" xfId="0" applyNumberFormat="1" applyFont="1" applyFill="1" applyBorder="1" applyAlignment="1" applyProtection="1">
      <alignment horizontal="right" vertical="center"/>
      <protection locked="0"/>
    </xf>
    <xf numFmtId="3" fontId="53" fillId="14" borderId="100" xfId="1" applyNumberFormat="1" applyFont="1" applyFill="1" applyBorder="1" applyAlignment="1">
      <alignment horizontal="left" vertical="top" indent="3"/>
    </xf>
    <xf numFmtId="3" fontId="52" fillId="0" borderId="83" xfId="1" applyNumberFormat="1" applyFont="1" applyFill="1" applyBorder="1" applyAlignment="1" applyProtection="1">
      <alignment horizontal="left" vertical="top" indent="3"/>
      <protection locked="0"/>
    </xf>
    <xf numFmtId="3" fontId="14" fillId="7" borderId="83" xfId="1" applyNumberFormat="1" applyFont="1" applyFill="1" applyBorder="1" applyAlignment="1">
      <alignment horizontal="left" vertical="top" indent="2"/>
    </xf>
    <xf numFmtId="4" fontId="21" fillId="7" borderId="98" xfId="0" applyNumberFormat="1" applyFont="1" applyFill="1" applyBorder="1" applyAlignment="1">
      <alignment horizontal="right" vertical="center"/>
    </xf>
    <xf numFmtId="0" fontId="19" fillId="20" borderId="118" xfId="0" applyFont="1" applyFill="1" applyBorder="1" applyAlignment="1">
      <alignment horizontal="center" vertical="center"/>
    </xf>
    <xf numFmtId="165" fontId="11" fillId="20" borderId="119" xfId="0" applyNumberFormat="1" applyFont="1" applyFill="1" applyBorder="1" applyAlignment="1">
      <alignment vertical="center"/>
    </xf>
    <xf numFmtId="165" fontId="11" fillId="20" borderId="120" xfId="0" applyNumberFormat="1" applyFont="1" applyFill="1" applyBorder="1" applyAlignment="1">
      <alignment vertical="center"/>
    </xf>
    <xf numFmtId="3" fontId="8" fillId="20" borderId="7" xfId="0" applyNumberFormat="1" applyFont="1" applyFill="1" applyBorder="1" applyAlignment="1">
      <alignment vertical="center"/>
    </xf>
    <xf numFmtId="3" fontId="74" fillId="25" borderId="7" xfId="0" applyNumberFormat="1" applyFont="1" applyFill="1" applyBorder="1" applyAlignment="1">
      <alignment vertical="center"/>
    </xf>
    <xf numFmtId="0" fontId="73" fillId="25" borderId="0" xfId="0" applyFont="1" applyFill="1"/>
    <xf numFmtId="0" fontId="8" fillId="20" borderId="7" xfId="0" applyFont="1" applyFill="1" applyBorder="1" applyAlignment="1">
      <alignment vertical="center"/>
    </xf>
    <xf numFmtId="3" fontId="53" fillId="20" borderId="15" xfId="2" applyNumberFormat="1" applyFont="1" applyFill="1" applyBorder="1" applyAlignment="1">
      <alignment horizontal="right" vertical="top"/>
    </xf>
    <xf numFmtId="0" fontId="30" fillId="15" borderId="77" xfId="0" applyFont="1" applyFill="1" applyBorder="1" applyAlignment="1">
      <alignment horizontal="center" vertical="center" wrapText="1"/>
    </xf>
    <xf numFmtId="0" fontId="36" fillId="0" borderId="77" xfId="0" applyFont="1" applyBorder="1" applyProtection="1">
      <protection locked="0"/>
    </xf>
    <xf numFmtId="0" fontId="0" fillId="0" borderId="77" xfId="0" applyBorder="1" applyProtection="1">
      <protection locked="0"/>
    </xf>
    <xf numFmtId="0" fontId="0" fillId="0" borderId="77" xfId="0" applyBorder="1"/>
    <xf numFmtId="0" fontId="20" fillId="0" borderId="77" xfId="0" applyFont="1" applyBorder="1"/>
    <xf numFmtId="165" fontId="40" fillId="20" borderId="2" xfId="0" applyNumberFormat="1" applyFont="1" applyFill="1" applyBorder="1" applyAlignment="1">
      <alignment horizontal="center" vertical="center"/>
    </xf>
    <xf numFmtId="9" fontId="36" fillId="0" borderId="77" xfId="0" applyNumberFormat="1" applyFont="1" applyBorder="1" applyProtection="1">
      <protection locked="0"/>
    </xf>
    <xf numFmtId="3" fontId="36" fillId="0" borderId="77" xfId="0" applyNumberFormat="1" applyFont="1" applyBorder="1" applyProtection="1">
      <protection locked="0"/>
    </xf>
    <xf numFmtId="0" fontId="81" fillId="0" borderId="0" xfId="0" applyFont="1" applyAlignment="1">
      <alignment horizontal="left" vertical="center" wrapText="1" indent="4"/>
    </xf>
    <xf numFmtId="0" fontId="61" fillId="3" borderId="77" xfId="0" applyFont="1" applyFill="1" applyBorder="1"/>
    <xf numFmtId="4" fontId="25" fillId="8" borderId="77" xfId="0" applyNumberFormat="1" applyFont="1" applyFill="1" applyBorder="1" applyAlignment="1">
      <alignment horizontal="right" vertical="center"/>
    </xf>
    <xf numFmtId="4" fontId="11" fillId="3" borderId="121" xfId="0" applyNumberFormat="1" applyFont="1" applyFill="1" applyBorder="1" applyAlignment="1">
      <alignment horizontal="right" vertical="center"/>
    </xf>
    <xf numFmtId="0" fontId="61" fillId="3" borderId="122" xfId="0" applyFont="1" applyFill="1" applyBorder="1"/>
    <xf numFmtId="4" fontId="25" fillId="8" borderId="123" xfId="0" applyNumberFormat="1" applyFont="1" applyFill="1" applyBorder="1" applyAlignment="1">
      <alignment horizontal="right" vertical="center"/>
    </xf>
    <xf numFmtId="4" fontId="25" fillId="8" borderId="84" xfId="0" applyNumberFormat="1" applyFont="1" applyFill="1" applyBorder="1" applyAlignment="1">
      <alignment horizontal="right" vertical="center"/>
    </xf>
    <xf numFmtId="0" fontId="53" fillId="15" borderId="124" xfId="0" applyFont="1" applyFill="1" applyBorder="1" applyAlignment="1">
      <alignment horizontal="center"/>
    </xf>
    <xf numFmtId="4" fontId="11" fillId="3" borderId="104" xfId="0" applyNumberFormat="1" applyFont="1" applyFill="1" applyBorder="1" applyAlignment="1">
      <alignment horizontal="right" vertical="center"/>
    </xf>
    <xf numFmtId="0" fontId="53" fillId="15" borderId="125" xfId="0" applyFont="1" applyFill="1" applyBorder="1" applyAlignment="1">
      <alignment horizontal="center"/>
    </xf>
    <xf numFmtId="4" fontId="25" fillId="8" borderId="126" xfId="0" applyNumberFormat="1" applyFont="1" applyFill="1" applyBorder="1" applyAlignment="1">
      <alignment horizontal="right" vertical="center"/>
    </xf>
    <xf numFmtId="4" fontId="11" fillId="3" borderId="122" xfId="0" applyNumberFormat="1" applyFont="1" applyFill="1" applyBorder="1" applyAlignment="1">
      <alignment horizontal="right" vertical="center"/>
    </xf>
    <xf numFmtId="3" fontId="10" fillId="14" borderId="127" xfId="1" applyNumberFormat="1" applyFont="1" applyFill="1" applyBorder="1" applyAlignment="1">
      <alignment horizontal="left" vertical="top" indent="1"/>
    </xf>
    <xf numFmtId="3" fontId="10" fillId="14" borderId="122" xfId="1" applyNumberFormat="1" applyFont="1" applyFill="1" applyBorder="1" applyAlignment="1">
      <alignment horizontal="left" vertical="top" indent="1"/>
    </xf>
    <xf numFmtId="0" fontId="61" fillId="3" borderId="129" xfId="0" applyFont="1" applyFill="1" applyBorder="1"/>
    <xf numFmtId="4" fontId="25" fillId="8" borderId="130" xfId="0" applyNumberFormat="1" applyFont="1" applyFill="1" applyBorder="1" applyAlignment="1">
      <alignment horizontal="right" vertical="center"/>
    </xf>
    <xf numFmtId="4" fontId="25" fillId="8" borderId="128" xfId="0" applyNumberFormat="1" applyFont="1" applyFill="1" applyBorder="1" applyAlignment="1">
      <alignment horizontal="right" vertical="center"/>
    </xf>
    <xf numFmtId="3" fontId="10" fillId="14" borderId="129" xfId="1" applyNumberFormat="1" applyFont="1" applyFill="1" applyBorder="1" applyAlignment="1">
      <alignment horizontal="left" vertical="top" indent="1"/>
    </xf>
    <xf numFmtId="4" fontId="11" fillId="3" borderId="129" xfId="0" applyNumberFormat="1" applyFont="1" applyFill="1" applyBorder="1" applyAlignment="1">
      <alignment horizontal="right" vertical="center"/>
    </xf>
    <xf numFmtId="4" fontId="11" fillId="3" borderId="131" xfId="0" applyNumberFormat="1" applyFont="1" applyFill="1" applyBorder="1" applyAlignment="1">
      <alignment horizontal="right" vertical="center"/>
    </xf>
    <xf numFmtId="3" fontId="74" fillId="25" borderId="0" xfId="0" applyNumberFormat="1" applyFont="1" applyFill="1" applyAlignment="1">
      <alignment vertical="center"/>
    </xf>
    <xf numFmtId="0" fontId="74" fillId="25" borderId="0" xfId="0" applyFont="1" applyFill="1"/>
    <xf numFmtId="3" fontId="74" fillId="25" borderId="0" xfId="0" applyNumberFormat="1" applyFont="1" applyFill="1"/>
    <xf numFmtId="0" fontId="0" fillId="25" borderId="0" xfId="0" applyFill="1" applyAlignment="1">
      <alignment horizontal="center" vertical="center"/>
    </xf>
    <xf numFmtId="0" fontId="80" fillId="25" borderId="0" xfId="0" applyFont="1" applyFill="1" applyAlignment="1">
      <alignment horizontal="left" vertical="center" indent="1"/>
    </xf>
    <xf numFmtId="0" fontId="8" fillId="15" borderId="99" xfId="0" applyFont="1" applyFill="1" applyBorder="1"/>
    <xf numFmtId="0" fontId="8" fillId="15" borderId="0" xfId="0" applyFont="1" applyFill="1"/>
    <xf numFmtId="0" fontId="8" fillId="15" borderId="84" xfId="0" applyFont="1" applyFill="1" applyBorder="1"/>
    <xf numFmtId="4" fontId="25" fillId="20" borderId="0" xfId="0" applyNumberFormat="1" applyFont="1" applyFill="1" applyAlignment="1">
      <alignment horizontal="center" vertical="center"/>
    </xf>
    <xf numFmtId="4" fontId="25" fillId="20" borderId="84" xfId="0" applyNumberFormat="1" applyFont="1" applyFill="1" applyBorder="1" applyAlignment="1">
      <alignment horizontal="center" vertical="center"/>
    </xf>
    <xf numFmtId="0" fontId="80" fillId="25" borderId="78" xfId="0" applyFont="1" applyFill="1" applyBorder="1" applyAlignment="1">
      <alignment horizontal="left" vertical="center" indent="1"/>
    </xf>
    <xf numFmtId="0" fontId="80" fillId="25" borderId="79" xfId="0" applyFont="1" applyFill="1" applyBorder="1" applyAlignment="1">
      <alignment horizontal="left" vertical="center" indent="1"/>
    </xf>
    <xf numFmtId="0" fontId="80" fillId="25" borderId="80" xfId="0" applyFont="1" applyFill="1" applyBorder="1" applyAlignment="1">
      <alignment horizontal="left" vertical="center" indent="1"/>
    </xf>
    <xf numFmtId="10" fontId="11" fillId="20" borderId="71" xfId="0" applyNumberFormat="1" applyFont="1" applyFill="1" applyBorder="1" applyAlignment="1">
      <alignment horizontal="center" vertical="center"/>
    </xf>
    <xf numFmtId="10" fontId="11" fillId="20" borderId="21" xfId="0" applyNumberFormat="1" applyFont="1" applyFill="1" applyBorder="1" applyAlignment="1">
      <alignment horizontal="center" vertical="center"/>
    </xf>
    <xf numFmtId="10" fontId="11" fillId="20" borderId="82" xfId="0" applyNumberFormat="1" applyFont="1" applyFill="1" applyBorder="1" applyAlignment="1">
      <alignment horizontal="center" vertical="center"/>
    </xf>
    <xf numFmtId="0" fontId="8" fillId="20" borderId="7" xfId="0" applyFont="1" applyFill="1" applyBorder="1" applyAlignment="1">
      <alignment horizontal="left" wrapText="1"/>
    </xf>
    <xf numFmtId="0" fontId="8" fillId="6" borderId="78" xfId="0" applyFont="1" applyFill="1" applyBorder="1" applyAlignment="1">
      <alignment horizontal="left"/>
    </xf>
    <xf numFmtId="0" fontId="8" fillId="6" borderId="79" xfId="0" applyFont="1" applyFill="1" applyBorder="1" applyAlignment="1">
      <alignment horizontal="left"/>
    </xf>
    <xf numFmtId="0" fontId="8" fillId="6" borderId="80" xfId="0" applyFont="1" applyFill="1" applyBorder="1" applyAlignment="1">
      <alignment horizontal="left"/>
    </xf>
    <xf numFmtId="3" fontId="11" fillId="9" borderId="114" xfId="1" applyNumberFormat="1" applyFont="1" applyFill="1" applyBorder="1" applyAlignment="1">
      <alignment horizontal="left" vertical="top"/>
    </xf>
    <xf numFmtId="3" fontId="11" fillId="9" borderId="67" xfId="1" applyNumberFormat="1" applyFont="1" applyFill="1" applyBorder="1" applyAlignment="1">
      <alignment horizontal="left" vertical="top"/>
    </xf>
    <xf numFmtId="3" fontId="11" fillId="9" borderId="115" xfId="1" applyNumberFormat="1" applyFont="1" applyFill="1" applyBorder="1" applyAlignment="1">
      <alignment horizontal="left" vertical="top"/>
    </xf>
    <xf numFmtId="3" fontId="11" fillId="9" borderId="116" xfId="1" applyNumberFormat="1" applyFont="1" applyFill="1" applyBorder="1" applyAlignment="1">
      <alignment horizontal="left" vertical="top" wrapText="1"/>
    </xf>
    <xf numFmtId="3" fontId="11" fillId="9" borderId="70" xfId="1" applyNumberFormat="1" applyFont="1" applyFill="1" applyBorder="1" applyAlignment="1">
      <alignment horizontal="left" vertical="top" wrapText="1"/>
    </xf>
    <xf numFmtId="3" fontId="11" fillId="9" borderId="117" xfId="1" applyNumberFormat="1" applyFont="1" applyFill="1" applyBorder="1" applyAlignment="1">
      <alignment horizontal="left" vertical="top" wrapText="1"/>
    </xf>
    <xf numFmtId="0" fontId="80" fillId="25" borderId="0" xfId="0" applyFont="1" applyFill="1" applyAlignment="1">
      <alignment horizontal="left" vertical="center" wrapText="1" indent="1"/>
    </xf>
    <xf numFmtId="4" fontId="11" fillId="20" borderId="17" xfId="0" applyNumberFormat="1" applyFont="1" applyFill="1" applyBorder="1" applyAlignment="1">
      <alignment horizontal="center" vertical="center"/>
    </xf>
    <xf numFmtId="4" fontId="11" fillId="20" borderId="0" xfId="0" applyNumberFormat="1" applyFont="1" applyFill="1" applyAlignment="1">
      <alignment horizontal="center" vertical="center"/>
    </xf>
    <xf numFmtId="4" fontId="11" fillId="20" borderId="84" xfId="0" applyNumberFormat="1" applyFont="1" applyFill="1" applyBorder="1" applyAlignment="1">
      <alignment horizontal="center" vertical="center"/>
    </xf>
    <xf numFmtId="165" fontId="15" fillId="20" borderId="56" xfId="0" applyNumberFormat="1" applyFont="1" applyFill="1" applyBorder="1" applyAlignment="1">
      <alignment horizontal="center" vertical="center"/>
    </xf>
    <xf numFmtId="165" fontId="15" fillId="20" borderId="57" xfId="0" applyNumberFormat="1" applyFont="1" applyFill="1" applyBorder="1" applyAlignment="1">
      <alignment horizontal="center" vertical="center"/>
    </xf>
    <xf numFmtId="165" fontId="15" fillId="20" borderId="58" xfId="0" applyNumberFormat="1" applyFont="1" applyFill="1" applyBorder="1" applyAlignment="1">
      <alignment horizontal="center" vertical="center"/>
    </xf>
    <xf numFmtId="0" fontId="19" fillId="20" borderId="11" xfId="0" applyFont="1" applyFill="1" applyBorder="1" applyAlignment="1">
      <alignment horizontal="right" vertical="center"/>
    </xf>
    <xf numFmtId="0" fontId="19" fillId="20" borderId="59" xfId="0" applyFont="1" applyFill="1" applyBorder="1" applyAlignment="1">
      <alignment horizontal="right" vertical="center"/>
    </xf>
    <xf numFmtId="0" fontId="5" fillId="4" borderId="27" xfId="0" applyFont="1" applyFill="1" applyBorder="1" applyAlignment="1">
      <alignment horizontal="center" vertical="center" wrapText="1"/>
    </xf>
    <xf numFmtId="0" fontId="5" fillId="4" borderId="35" xfId="0" applyFont="1" applyFill="1" applyBorder="1" applyAlignment="1">
      <alignment horizontal="center" vertical="center" wrapText="1"/>
    </xf>
    <xf numFmtId="38" fontId="29" fillId="20" borderId="8" xfId="3" applyNumberFormat="1" applyFont="1" applyFill="1" applyBorder="1" applyAlignment="1">
      <alignment horizontal="center" vertical="center" wrapText="1" readingOrder="1"/>
    </xf>
    <xf numFmtId="38" fontId="29" fillId="20" borderId="20" xfId="3" applyNumberFormat="1" applyFont="1" applyFill="1" applyBorder="1" applyAlignment="1">
      <alignment horizontal="center" vertical="center" wrapText="1" readingOrder="1"/>
    </xf>
    <xf numFmtId="38" fontId="29" fillId="20" borderId="46" xfId="3" applyNumberFormat="1" applyFont="1" applyFill="1" applyBorder="1" applyAlignment="1">
      <alignment horizontal="center" vertical="center" wrapText="1" readingOrder="1"/>
    </xf>
    <xf numFmtId="38" fontId="29" fillId="20" borderId="26" xfId="3" applyNumberFormat="1" applyFont="1" applyFill="1" applyBorder="1" applyAlignment="1">
      <alignment horizontal="center" vertical="center" wrapText="1" readingOrder="1"/>
    </xf>
    <xf numFmtId="0" fontId="10" fillId="15" borderId="1" xfId="0" applyFont="1" applyFill="1" applyBorder="1" applyAlignment="1">
      <alignment horizontal="center" vertical="center" wrapText="1"/>
    </xf>
    <xf numFmtId="0" fontId="10" fillId="15" borderId="3" xfId="0" applyFont="1" applyFill="1" applyBorder="1" applyAlignment="1">
      <alignment horizontal="center" vertical="center" wrapText="1"/>
    </xf>
    <xf numFmtId="0" fontId="10" fillId="20" borderId="27" xfId="0" applyFont="1" applyFill="1" applyBorder="1" applyAlignment="1">
      <alignment horizontal="right" vertical="center"/>
    </xf>
    <xf numFmtId="0" fontId="10" fillId="20" borderId="25" xfId="0" applyFont="1" applyFill="1" applyBorder="1" applyAlignment="1">
      <alignment horizontal="right" vertical="center"/>
    </xf>
    <xf numFmtId="0" fontId="10" fillId="20" borderId="35" xfId="0" applyFont="1" applyFill="1" applyBorder="1" applyAlignment="1">
      <alignment horizontal="right" vertical="center"/>
    </xf>
    <xf numFmtId="0" fontId="10" fillId="15" borderId="0" xfId="0" applyFont="1" applyFill="1" applyAlignment="1">
      <alignment horizontal="center" vertical="center" wrapText="1"/>
    </xf>
    <xf numFmtId="0" fontId="10" fillId="15" borderId="7" xfId="0" applyFont="1" applyFill="1" applyBorder="1" applyAlignment="1">
      <alignment horizontal="center" vertical="center" wrapText="1"/>
    </xf>
    <xf numFmtId="0" fontId="10" fillId="15" borderId="22" xfId="0" applyFont="1" applyFill="1" applyBorder="1" applyAlignment="1">
      <alignment horizontal="center" vertical="center" wrapText="1"/>
    </xf>
    <xf numFmtId="0" fontId="10" fillId="15" borderId="26" xfId="0" applyFont="1" applyFill="1" applyBorder="1" applyAlignment="1">
      <alignment horizontal="center" vertical="center" wrapText="1"/>
    </xf>
    <xf numFmtId="0" fontId="5" fillId="4" borderId="25" xfId="0" applyFont="1" applyFill="1" applyBorder="1" applyAlignment="1">
      <alignment horizontal="center" vertical="center" wrapText="1"/>
    </xf>
    <xf numFmtId="0" fontId="10" fillId="20" borderId="27" xfId="0" applyFont="1" applyFill="1" applyBorder="1" applyAlignment="1">
      <alignment horizontal="center" vertical="center"/>
    </xf>
    <xf numFmtId="0" fontId="10" fillId="20" borderId="25" xfId="0" applyFont="1" applyFill="1" applyBorder="1" applyAlignment="1">
      <alignment horizontal="center" vertical="center"/>
    </xf>
    <xf numFmtId="0" fontId="10" fillId="20" borderId="35" xfId="0" applyFont="1" applyFill="1" applyBorder="1" applyAlignment="1">
      <alignment horizontal="center" vertical="center"/>
    </xf>
    <xf numFmtId="0" fontId="10" fillId="23" borderId="1" xfId="0" applyFont="1" applyFill="1" applyBorder="1" applyAlignment="1">
      <alignment horizontal="center" vertical="center" wrapText="1"/>
    </xf>
    <xf numFmtId="0" fontId="10" fillId="23" borderId="3" xfId="0" applyFont="1" applyFill="1" applyBorder="1" applyAlignment="1">
      <alignment horizontal="center" vertical="center" wrapText="1"/>
    </xf>
    <xf numFmtId="0" fontId="10" fillId="23" borderId="19" xfId="0" applyFont="1" applyFill="1" applyBorder="1" applyAlignment="1">
      <alignment horizontal="center" vertical="center" wrapText="1"/>
    </xf>
    <xf numFmtId="0" fontId="28" fillId="23" borderId="0" xfId="0" applyFont="1" applyFill="1" applyAlignment="1">
      <alignment horizontal="right"/>
    </xf>
    <xf numFmtId="0" fontId="7" fillId="23" borderId="27" xfId="0" applyFont="1" applyFill="1" applyBorder="1" applyAlignment="1">
      <alignment horizontal="right" wrapText="1"/>
    </xf>
    <xf numFmtId="0" fontId="7" fillId="23" borderId="25" xfId="0" applyFont="1" applyFill="1" applyBorder="1" applyAlignment="1">
      <alignment horizontal="right" wrapText="1"/>
    </xf>
    <xf numFmtId="0" fontId="7" fillId="23" borderId="35" xfId="0" applyFont="1" applyFill="1" applyBorder="1" applyAlignment="1">
      <alignment horizontal="right" wrapText="1"/>
    </xf>
    <xf numFmtId="0" fontId="10" fillId="15" borderId="19" xfId="0" applyFont="1" applyFill="1" applyBorder="1" applyAlignment="1">
      <alignment horizontal="center" vertical="center" wrapText="1"/>
    </xf>
    <xf numFmtId="4" fontId="25" fillId="20" borderId="103" xfId="0" applyNumberFormat="1" applyFont="1" applyFill="1" applyBorder="1" applyAlignment="1">
      <alignment horizontal="center" vertical="center"/>
    </xf>
    <xf numFmtId="4" fontId="25" fillId="20" borderId="104" xfId="0" applyNumberFormat="1" applyFont="1" applyFill="1" applyBorder="1" applyAlignment="1">
      <alignment horizontal="center" vertical="center"/>
    </xf>
    <xf numFmtId="0" fontId="70" fillId="15" borderId="99" xfId="0" applyFont="1" applyFill="1" applyBorder="1" applyAlignment="1">
      <alignment horizontal="center" vertical="center"/>
    </xf>
    <xf numFmtId="0" fontId="70" fillId="15" borderId="0" xfId="0" applyFont="1" applyFill="1" applyAlignment="1">
      <alignment horizontal="center" vertical="center"/>
    </xf>
    <xf numFmtId="0" fontId="70" fillId="15" borderId="84" xfId="0" applyFont="1" applyFill="1" applyBorder="1" applyAlignment="1">
      <alignment horizontal="center" vertical="center"/>
    </xf>
    <xf numFmtId="0" fontId="75" fillId="22" borderId="0" xfId="0" applyFont="1" applyFill="1" applyAlignment="1">
      <alignment horizontal="left" wrapText="1" indent="2"/>
    </xf>
    <xf numFmtId="0" fontId="59" fillId="20" borderId="0" xfId="0" applyFont="1" applyFill="1" applyAlignment="1">
      <alignment horizontal="center" wrapText="1"/>
    </xf>
    <xf numFmtId="0" fontId="0" fillId="20" borderId="0" xfId="0" applyFill="1" applyAlignment="1">
      <alignment horizontal="left"/>
    </xf>
    <xf numFmtId="0" fontId="0" fillId="20" borderId="0" xfId="0" applyFill="1" applyAlignment="1">
      <alignment horizontal="left" wrapText="1"/>
    </xf>
    <xf numFmtId="0" fontId="29" fillId="5" borderId="0" xfId="0" applyFont="1" applyFill="1" applyAlignment="1">
      <alignment horizontal="left" vertical="center"/>
    </xf>
    <xf numFmtId="0" fontId="8" fillId="6" borderId="0" xfId="0" applyFont="1" applyFill="1" applyAlignment="1">
      <alignment horizontal="left"/>
    </xf>
    <xf numFmtId="4" fontId="25" fillId="2" borderId="0" xfId="0" applyNumberFormat="1" applyFont="1" applyFill="1" applyAlignment="1">
      <alignment horizontal="center" vertical="center"/>
    </xf>
    <xf numFmtId="4" fontId="25" fillId="2" borderId="22" xfId="0" applyNumberFormat="1" applyFont="1" applyFill="1" applyBorder="1" applyAlignment="1">
      <alignment horizontal="center" vertical="center"/>
    </xf>
    <xf numFmtId="0" fontId="38" fillId="5" borderId="0" xfId="0" applyFont="1" applyFill="1" applyAlignment="1">
      <alignment horizontal="center" vertical="center"/>
    </xf>
    <xf numFmtId="0" fontId="19" fillId="2" borderId="8" xfId="0" applyFont="1" applyFill="1" applyBorder="1" applyAlignment="1">
      <alignment horizontal="center" vertical="center"/>
    </xf>
    <xf numFmtId="0" fontId="19" fillId="2" borderId="6" xfId="0" applyFont="1" applyFill="1" applyBorder="1" applyAlignment="1">
      <alignment horizontal="center" vertical="center"/>
    </xf>
    <xf numFmtId="0" fontId="19" fillId="2" borderId="46" xfId="0" applyFont="1" applyFill="1" applyBorder="1" applyAlignment="1">
      <alignment horizontal="center" vertical="center"/>
    </xf>
    <xf numFmtId="0" fontId="8" fillId="15" borderId="14" xfId="0" applyFont="1" applyFill="1" applyBorder="1"/>
    <xf numFmtId="0" fontId="2" fillId="15" borderId="46" xfId="0" applyFont="1" applyFill="1" applyBorder="1" applyAlignment="1">
      <alignment horizontal="center" vertical="center"/>
    </xf>
    <xf numFmtId="0" fontId="2" fillId="15" borderId="26" xfId="0" applyFont="1" applyFill="1" applyBorder="1" applyAlignment="1">
      <alignment horizontal="center" vertical="center"/>
    </xf>
    <xf numFmtId="0" fontId="8" fillId="15" borderId="6" xfId="0" applyFont="1" applyFill="1" applyBorder="1"/>
    <xf numFmtId="0" fontId="8" fillId="15" borderId="22" xfId="0" applyFont="1" applyFill="1" applyBorder="1"/>
    <xf numFmtId="0" fontId="0" fillId="0" borderId="17" xfId="0" applyBorder="1" applyAlignment="1">
      <alignment horizontal="left"/>
    </xf>
    <xf numFmtId="0" fontId="0" fillId="0" borderId="0" xfId="0" applyAlignment="1">
      <alignment horizontal="left"/>
    </xf>
    <xf numFmtId="10" fontId="25" fillId="2" borderId="71" xfId="0" applyNumberFormat="1" applyFont="1" applyFill="1" applyBorder="1" applyAlignment="1">
      <alignment horizontal="center" vertical="center"/>
    </xf>
    <xf numFmtId="10" fontId="25" fillId="2" borderId="21" xfId="0" applyNumberFormat="1" applyFont="1" applyFill="1" applyBorder="1" applyAlignment="1">
      <alignment horizontal="center" vertical="center"/>
    </xf>
    <xf numFmtId="10" fontId="25" fillId="2" borderId="20" xfId="0" applyNumberFormat="1" applyFont="1" applyFill="1" applyBorder="1" applyAlignment="1">
      <alignment horizontal="center" vertical="center"/>
    </xf>
    <xf numFmtId="4" fontId="25" fillId="2" borderId="17" xfId="0" applyNumberFormat="1" applyFont="1" applyFill="1" applyBorder="1" applyAlignment="1">
      <alignment horizontal="center" vertical="center"/>
    </xf>
    <xf numFmtId="0" fontId="79" fillId="25" borderId="78" xfId="0" applyFont="1" applyFill="1" applyBorder="1" applyAlignment="1">
      <alignment horizontal="left" vertical="center" indent="1"/>
    </xf>
    <xf numFmtId="0" fontId="79" fillId="25" borderId="79" xfId="0" applyFont="1" applyFill="1" applyBorder="1" applyAlignment="1">
      <alignment horizontal="left" vertical="center" indent="1"/>
    </xf>
    <xf numFmtId="0" fontId="79" fillId="25" borderId="80" xfId="0" applyFont="1" applyFill="1" applyBorder="1" applyAlignment="1">
      <alignment horizontal="left" vertical="center" indent="1"/>
    </xf>
    <xf numFmtId="0" fontId="74" fillId="25" borderId="7" xfId="0" applyFont="1" applyFill="1" applyBorder="1" applyAlignment="1">
      <alignment horizontal="left" vertical="center" wrapText="1" indent="1"/>
    </xf>
    <xf numFmtId="3" fontId="11" fillId="9" borderId="66" xfId="1" applyNumberFormat="1" applyFont="1" applyFill="1" applyBorder="1" applyAlignment="1">
      <alignment horizontal="left" vertical="top"/>
    </xf>
    <xf numFmtId="3" fontId="11" fillId="9" borderId="68" xfId="1" applyNumberFormat="1" applyFont="1" applyFill="1" applyBorder="1" applyAlignment="1">
      <alignment horizontal="left" vertical="top"/>
    </xf>
    <xf numFmtId="3" fontId="11" fillId="9" borderId="69" xfId="1" applyNumberFormat="1" applyFont="1" applyFill="1" applyBorder="1" applyAlignment="1">
      <alignment horizontal="left" vertical="top" wrapText="1"/>
    </xf>
    <xf numFmtId="0" fontId="74" fillId="25" borderId="0" xfId="0" applyFont="1" applyFill="1" applyAlignment="1">
      <alignment horizontal="left" indent="1"/>
    </xf>
    <xf numFmtId="0" fontId="51" fillId="5" borderId="1" xfId="0" applyFont="1" applyFill="1" applyBorder="1" applyAlignment="1">
      <alignment vertical="center" wrapText="1"/>
    </xf>
    <xf numFmtId="0" fontId="51" fillId="5" borderId="2" xfId="0" applyFont="1" applyFill="1" applyBorder="1" applyAlignment="1">
      <alignment vertical="center" wrapText="1"/>
    </xf>
    <xf numFmtId="0" fontId="30" fillId="15" borderId="77" xfId="0" applyFont="1" applyFill="1" applyBorder="1" applyAlignment="1">
      <alignment horizontal="left" vertical="center" wrapText="1"/>
    </xf>
    <xf numFmtId="0" fontId="22" fillId="20" borderId="2" xfId="0" applyFont="1" applyFill="1" applyBorder="1"/>
    <xf numFmtId="0" fontId="51" fillId="5" borderId="4" xfId="0" applyFont="1" applyFill="1" applyBorder="1" applyAlignment="1">
      <alignment vertical="top" wrapText="1"/>
    </xf>
    <xf numFmtId="0" fontId="50" fillId="5" borderId="4" xfId="0" applyFont="1" applyFill="1" applyBorder="1" applyAlignment="1">
      <alignment vertical="center" wrapText="1"/>
    </xf>
    <xf numFmtId="0" fontId="30" fillId="15" borderId="77" xfId="0" applyFont="1" applyFill="1" applyBorder="1" applyAlignment="1">
      <alignment horizontal="center" vertical="center" wrapText="1"/>
    </xf>
    <xf numFmtId="9" fontId="0" fillId="0" borderId="77" xfId="0" applyNumberFormat="1" applyBorder="1" applyAlignment="1" applyProtection="1">
      <alignment horizontal="center" vertical="center"/>
      <protection locked="0"/>
    </xf>
    <xf numFmtId="0" fontId="0" fillId="0" borderId="77" xfId="0" applyBorder="1" applyAlignment="1" applyProtection="1">
      <alignment horizontal="center" vertical="center"/>
      <protection locked="0"/>
    </xf>
    <xf numFmtId="165" fontId="39" fillId="20" borderId="77" xfId="0" applyNumberFormat="1" applyFont="1" applyFill="1" applyBorder="1" applyAlignment="1">
      <alignment horizontal="center" vertical="center"/>
    </xf>
    <xf numFmtId="0" fontId="38" fillId="6" borderId="0" xfId="0" applyFont="1" applyFill="1" applyAlignment="1">
      <alignment horizontal="left"/>
    </xf>
    <xf numFmtId="0" fontId="28" fillId="2" borderId="0" xfId="0" applyFont="1" applyFill="1" applyAlignment="1">
      <alignment horizontal="right"/>
    </xf>
    <xf numFmtId="0" fontId="10" fillId="2" borderId="1"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10" fillId="2" borderId="19" xfId="0" applyFont="1" applyFill="1" applyBorder="1" applyAlignment="1">
      <alignment horizontal="center" vertical="center" wrapText="1"/>
    </xf>
    <xf numFmtId="0" fontId="8" fillId="6" borderId="7" xfId="0" applyFont="1" applyFill="1" applyBorder="1" applyAlignment="1">
      <alignment horizontal="left"/>
    </xf>
    <xf numFmtId="0" fontId="7" fillId="11" borderId="27" xfId="0" applyFont="1" applyFill="1" applyBorder="1" applyAlignment="1">
      <alignment horizontal="right" wrapText="1"/>
    </xf>
    <xf numFmtId="0" fontId="7" fillId="11" borderId="25" xfId="0" applyFont="1" applyFill="1" applyBorder="1" applyAlignment="1">
      <alignment horizontal="right" wrapText="1"/>
    </xf>
    <xf numFmtId="0" fontId="7" fillId="11" borderId="35" xfId="0" applyFont="1" applyFill="1" applyBorder="1" applyAlignment="1">
      <alignment horizontal="right" wrapText="1"/>
    </xf>
    <xf numFmtId="0" fontId="7" fillId="11" borderId="21" xfId="0" applyFont="1" applyFill="1" applyBorder="1" applyAlignment="1">
      <alignment horizontal="right" wrapText="1"/>
    </xf>
    <xf numFmtId="0" fontId="1" fillId="15" borderId="1" xfId="0" applyFont="1" applyFill="1" applyBorder="1" applyAlignment="1">
      <alignment horizontal="center" vertical="center" wrapText="1"/>
    </xf>
    <xf numFmtId="0" fontId="1" fillId="15" borderId="3" xfId="0" applyFont="1" applyFill="1" applyBorder="1" applyAlignment="1">
      <alignment horizontal="center" vertical="center" wrapText="1"/>
    </xf>
    <xf numFmtId="3" fontId="67" fillId="11" borderId="29" xfId="0" applyNumberFormat="1" applyFont="1" applyFill="1" applyBorder="1" applyAlignment="1">
      <alignment horizontal="center"/>
    </xf>
    <xf numFmtId="3" fontId="67" fillId="11" borderId="0" xfId="0" applyNumberFormat="1" applyFont="1" applyFill="1" applyAlignment="1">
      <alignment horizontal="center"/>
    </xf>
    <xf numFmtId="0" fontId="8" fillId="6" borderId="0" xfId="0" applyFont="1" applyFill="1" applyAlignment="1">
      <alignment horizontal="left" wrapText="1"/>
    </xf>
    <xf numFmtId="0" fontId="10" fillId="2" borderId="27" xfId="0" applyFont="1" applyFill="1" applyBorder="1" applyAlignment="1">
      <alignment horizontal="right" vertical="center"/>
    </xf>
    <xf numFmtId="0" fontId="10" fillId="2" borderId="25" xfId="0" applyFont="1" applyFill="1" applyBorder="1" applyAlignment="1">
      <alignment horizontal="right" vertical="center"/>
    </xf>
    <xf numFmtId="0" fontId="10" fillId="2" borderId="35" xfId="0" applyFont="1" applyFill="1" applyBorder="1" applyAlignment="1">
      <alignment horizontal="right" vertical="center"/>
    </xf>
    <xf numFmtId="0" fontId="10" fillId="2" borderId="27" xfId="0" applyFont="1" applyFill="1" applyBorder="1" applyAlignment="1">
      <alignment horizontal="center" vertical="center"/>
    </xf>
    <xf numFmtId="0" fontId="10" fillId="2" borderId="25" xfId="0" applyFont="1" applyFill="1" applyBorder="1" applyAlignment="1">
      <alignment horizontal="center" vertical="center"/>
    </xf>
    <xf numFmtId="0" fontId="10" fillId="2" borderId="35" xfId="0" applyFont="1" applyFill="1" applyBorder="1" applyAlignment="1">
      <alignment horizontal="center" vertical="center"/>
    </xf>
    <xf numFmtId="4" fontId="0" fillId="0" borderId="27" xfId="0" applyNumberFormat="1" applyBorder="1" applyAlignment="1" applyProtection="1">
      <alignment horizontal="center"/>
      <protection locked="0"/>
    </xf>
    <xf numFmtId="4" fontId="0" fillId="0" borderId="35" xfId="0" applyNumberFormat="1" applyBorder="1" applyAlignment="1" applyProtection="1">
      <alignment horizontal="center"/>
      <protection locked="0"/>
    </xf>
    <xf numFmtId="4" fontId="0" fillId="0" borderId="4" xfId="0" applyNumberFormat="1" applyBorder="1" applyAlignment="1" applyProtection="1">
      <alignment horizontal="center"/>
      <protection locked="0"/>
    </xf>
    <xf numFmtId="3" fontId="52" fillId="8" borderId="27" xfId="1" applyNumberFormat="1" applyFont="1" applyFill="1" applyBorder="1" applyAlignment="1" applyProtection="1">
      <alignment horizontal="center" vertical="top"/>
      <protection locked="0"/>
    </xf>
    <xf numFmtId="3" fontId="52" fillId="8" borderId="25" xfId="1" applyNumberFormat="1" applyFont="1" applyFill="1" applyBorder="1" applyAlignment="1" applyProtection="1">
      <alignment horizontal="center" vertical="top"/>
      <protection locked="0"/>
    </xf>
    <xf numFmtId="3" fontId="52" fillId="8" borderId="35" xfId="1" applyNumberFormat="1" applyFont="1" applyFill="1" applyBorder="1" applyAlignment="1" applyProtection="1">
      <alignment horizontal="center" vertical="top"/>
      <protection locked="0"/>
    </xf>
    <xf numFmtId="0" fontId="8" fillId="5" borderId="27" xfId="0" applyFont="1" applyFill="1" applyBorder="1" applyAlignment="1">
      <alignment horizontal="left"/>
    </xf>
    <xf numFmtId="0" fontId="8" fillId="5" borderId="25" xfId="0" applyFont="1" applyFill="1" applyBorder="1" applyAlignment="1">
      <alignment horizontal="left"/>
    </xf>
    <xf numFmtId="0" fontId="8" fillId="5" borderId="21" xfId="0" applyFont="1" applyFill="1" applyBorder="1" applyAlignment="1">
      <alignment horizontal="left"/>
    </xf>
    <xf numFmtId="0" fontId="8" fillId="5" borderId="20" xfId="0" applyFont="1" applyFill="1" applyBorder="1" applyAlignment="1">
      <alignment horizontal="left"/>
    </xf>
    <xf numFmtId="165" fontId="15" fillId="11" borderId="56" xfId="0" applyNumberFormat="1" applyFont="1" applyFill="1" applyBorder="1" applyAlignment="1">
      <alignment horizontal="center" vertical="center"/>
    </xf>
    <xf numFmtId="3" fontId="11" fillId="19" borderId="16" xfId="1" applyNumberFormat="1" applyFont="1" applyFill="1" applyBorder="1" applyAlignment="1">
      <alignment horizontal="left" vertical="top"/>
    </xf>
    <xf numFmtId="3" fontId="11" fillId="19" borderId="0" xfId="1" applyNumberFormat="1" applyFont="1" applyFill="1" applyBorder="1" applyAlignment="1">
      <alignment horizontal="left" vertical="top"/>
    </xf>
    <xf numFmtId="3" fontId="11" fillId="19" borderId="22" xfId="1" applyNumberFormat="1" applyFont="1" applyFill="1" applyBorder="1" applyAlignment="1">
      <alignment horizontal="left" vertical="top"/>
    </xf>
    <xf numFmtId="0" fontId="29" fillId="15" borderId="21" xfId="0" applyFont="1" applyFill="1" applyBorder="1" applyAlignment="1">
      <alignment horizontal="center" vertical="center" wrapText="1" readingOrder="1"/>
    </xf>
    <xf numFmtId="0" fontId="64" fillId="5" borderId="0" xfId="0" applyFont="1" applyFill="1" applyAlignment="1">
      <alignment horizontal="center" vertical="center" wrapText="1"/>
    </xf>
    <xf numFmtId="0" fontId="46" fillId="5" borderId="0" xfId="0" applyFont="1" applyFill="1" applyAlignment="1">
      <alignment horizontal="center" wrapText="1"/>
    </xf>
    <xf numFmtId="0" fontId="8" fillId="6" borderId="27" xfId="0" applyFont="1" applyFill="1" applyBorder="1" applyAlignment="1">
      <alignment horizontal="left"/>
    </xf>
    <xf numFmtId="0" fontId="8" fillId="6" borderId="25" xfId="0" applyFont="1" applyFill="1" applyBorder="1" applyAlignment="1">
      <alignment horizontal="left"/>
    </xf>
    <xf numFmtId="0" fontId="8" fillId="6" borderId="35" xfId="0" applyFont="1" applyFill="1" applyBorder="1" applyAlignment="1">
      <alignment horizontal="left"/>
    </xf>
    <xf numFmtId="0" fontId="8" fillId="6" borderId="21" xfId="0" applyFont="1" applyFill="1" applyBorder="1" applyAlignment="1">
      <alignment horizontal="left"/>
    </xf>
    <xf numFmtId="0" fontId="8" fillId="6" borderId="20" xfId="0" applyFont="1" applyFill="1" applyBorder="1" applyAlignment="1">
      <alignment horizontal="left"/>
    </xf>
    <xf numFmtId="0" fontId="19" fillId="2" borderId="11" xfId="0" applyFont="1" applyFill="1" applyBorder="1" applyAlignment="1">
      <alignment horizontal="right" vertical="center"/>
    </xf>
    <xf numFmtId="0" fontId="19" fillId="2" borderId="59" xfId="0" applyFont="1" applyFill="1" applyBorder="1" applyAlignment="1">
      <alignment horizontal="right" vertical="center"/>
    </xf>
    <xf numFmtId="165" fontId="15" fillId="11" borderId="57" xfId="0" applyNumberFormat="1" applyFont="1" applyFill="1" applyBorder="1" applyAlignment="1">
      <alignment horizontal="center" vertical="center"/>
    </xf>
    <xf numFmtId="165" fontId="15" fillId="11" borderId="58" xfId="0" applyNumberFormat="1" applyFont="1" applyFill="1" applyBorder="1" applyAlignment="1">
      <alignment horizontal="center" vertical="center"/>
    </xf>
    <xf numFmtId="38" fontId="29" fillId="2" borderId="27" xfId="3" applyNumberFormat="1" applyFont="1" applyFill="1" applyBorder="1" applyAlignment="1">
      <alignment horizontal="center" vertical="center" wrapText="1" readingOrder="1"/>
    </xf>
    <xf numFmtId="38" fontId="29" fillId="2" borderId="35" xfId="3" applyNumberFormat="1" applyFont="1" applyFill="1" applyBorder="1" applyAlignment="1">
      <alignment horizontal="center" vertical="center" wrapText="1" readingOrder="1"/>
    </xf>
    <xf numFmtId="0" fontId="44" fillId="8" borderId="27" xfId="0" applyFont="1" applyFill="1" applyBorder="1" applyAlignment="1" applyProtection="1">
      <alignment horizontal="center" vertical="center" wrapText="1" readingOrder="1"/>
      <protection locked="0"/>
    </xf>
    <xf numFmtId="0" fontId="44" fillId="8" borderId="25" xfId="0" applyFont="1" applyFill="1" applyBorder="1" applyAlignment="1" applyProtection="1">
      <alignment horizontal="center" vertical="center" wrapText="1" readingOrder="1"/>
      <protection locked="0"/>
    </xf>
    <xf numFmtId="0" fontId="44" fillId="8" borderId="35" xfId="0" applyFont="1" applyFill="1" applyBorder="1" applyAlignment="1" applyProtection="1">
      <alignment horizontal="center" vertical="center" wrapText="1" readingOrder="1"/>
      <protection locked="0"/>
    </xf>
    <xf numFmtId="4" fontId="0" fillId="11" borderId="27" xfId="0" applyNumberFormat="1" applyFill="1" applyBorder="1" applyAlignment="1">
      <alignment horizontal="center"/>
    </xf>
    <xf numFmtId="4" fontId="0" fillId="11" borderId="35" xfId="0" applyNumberFormat="1" applyFill="1" applyBorder="1" applyAlignment="1">
      <alignment horizontal="center"/>
    </xf>
    <xf numFmtId="38" fontId="29" fillId="2" borderId="8" xfId="3" applyNumberFormat="1" applyFont="1" applyFill="1" applyBorder="1" applyAlignment="1">
      <alignment horizontal="center" vertical="center" wrapText="1" readingOrder="1"/>
    </xf>
    <xf numFmtId="38" fontId="29" fillId="2" borderId="20" xfId="3" applyNumberFormat="1" applyFont="1" applyFill="1" applyBorder="1" applyAlignment="1">
      <alignment horizontal="center" vertical="center" wrapText="1" readingOrder="1"/>
    </xf>
    <xf numFmtId="38" fontId="29" fillId="2" borderId="46" xfId="3" applyNumberFormat="1" applyFont="1" applyFill="1" applyBorder="1" applyAlignment="1">
      <alignment horizontal="center" vertical="center" wrapText="1" readingOrder="1"/>
    </xf>
    <xf numFmtId="38" fontId="29" fillId="2" borderId="26" xfId="3" applyNumberFormat="1" applyFont="1" applyFill="1" applyBorder="1" applyAlignment="1">
      <alignment horizontal="center" vertical="center" wrapText="1" readingOrder="1"/>
    </xf>
    <xf numFmtId="38" fontId="29" fillId="2" borderId="57" xfId="3" applyNumberFormat="1" applyFont="1" applyFill="1" applyBorder="1" applyAlignment="1">
      <alignment horizontal="center" vertical="center" wrapText="1" readingOrder="1"/>
    </xf>
    <xf numFmtId="38" fontId="29" fillId="2" borderId="59" xfId="3" applyNumberFormat="1" applyFont="1" applyFill="1" applyBorder="1" applyAlignment="1">
      <alignment horizontal="center" vertical="center" wrapText="1" readingOrder="1"/>
    </xf>
    <xf numFmtId="3" fontId="52" fillId="8" borderId="46" xfId="1" applyNumberFormat="1" applyFont="1" applyFill="1" applyBorder="1" applyAlignment="1" applyProtection="1">
      <alignment horizontal="center" vertical="top"/>
      <protection locked="0"/>
    </xf>
    <xf numFmtId="3" fontId="52" fillId="8" borderId="7" xfId="1" applyNumberFormat="1" applyFont="1" applyFill="1" applyBorder="1" applyAlignment="1" applyProtection="1">
      <alignment horizontal="center" vertical="top"/>
      <protection locked="0"/>
    </xf>
    <xf numFmtId="3" fontId="52" fillId="8" borderId="26" xfId="1" applyNumberFormat="1" applyFont="1" applyFill="1" applyBorder="1" applyAlignment="1" applyProtection="1">
      <alignment horizontal="center" vertical="top"/>
      <protection locked="0"/>
    </xf>
    <xf numFmtId="0" fontId="8" fillId="6" borderId="27" xfId="0" applyFont="1" applyFill="1" applyBorder="1" applyAlignment="1">
      <alignment horizontal="left" vertical="center"/>
    </xf>
    <xf numFmtId="0" fontId="8" fillId="6" borderId="21" xfId="0" applyFont="1" applyFill="1" applyBorder="1" applyAlignment="1">
      <alignment horizontal="left" vertical="center"/>
    </xf>
    <xf numFmtId="0" fontId="8" fillId="6" borderId="25" xfId="0" applyFont="1" applyFill="1" applyBorder="1" applyAlignment="1">
      <alignment horizontal="left" vertical="center"/>
    </xf>
    <xf numFmtId="0" fontId="8" fillId="6" borderId="20" xfId="0" applyFont="1" applyFill="1" applyBorder="1" applyAlignment="1">
      <alignment horizontal="left" vertical="center"/>
    </xf>
    <xf numFmtId="38" fontId="45" fillId="2" borderId="27" xfId="0" applyNumberFormat="1" applyFont="1" applyFill="1" applyBorder="1" applyAlignment="1">
      <alignment horizontal="center" vertical="center" wrapText="1" readingOrder="1"/>
    </xf>
    <xf numFmtId="38" fontId="45" fillId="2" borderId="35" xfId="0" applyNumberFormat="1" applyFont="1" applyFill="1" applyBorder="1" applyAlignment="1">
      <alignment horizontal="center" vertical="center" wrapText="1" readingOrder="1"/>
    </xf>
    <xf numFmtId="0" fontId="19" fillId="2" borderId="27" xfId="0" applyFont="1" applyFill="1" applyBorder="1" applyAlignment="1">
      <alignment horizontal="right" vertical="center"/>
    </xf>
    <xf numFmtId="0" fontId="19" fillId="2" borderId="25" xfId="0" applyFont="1" applyFill="1" applyBorder="1" applyAlignment="1">
      <alignment horizontal="right" vertical="center"/>
    </xf>
    <xf numFmtId="0" fontId="19" fillId="2" borderId="35" xfId="0" applyFont="1" applyFill="1" applyBorder="1" applyAlignment="1">
      <alignment horizontal="right" vertical="center"/>
    </xf>
    <xf numFmtId="4" fontId="0" fillId="11" borderId="4" xfId="0" applyNumberFormat="1" applyFill="1" applyBorder="1" applyAlignment="1">
      <alignment horizontal="center"/>
    </xf>
    <xf numFmtId="4" fontId="0" fillId="11" borderId="4" xfId="0" applyNumberFormat="1" applyFill="1" applyBorder="1" applyAlignment="1" applyProtection="1">
      <alignment horizontal="center"/>
      <protection locked="0"/>
    </xf>
    <xf numFmtId="4" fontId="0" fillId="11" borderId="27" xfId="0" applyNumberFormat="1" applyFill="1" applyBorder="1" applyAlignment="1" applyProtection="1">
      <alignment horizontal="center"/>
      <protection locked="0"/>
    </xf>
    <xf numFmtId="4" fontId="0" fillId="11" borderId="35" xfId="0" applyNumberFormat="1" applyFill="1" applyBorder="1" applyAlignment="1" applyProtection="1">
      <alignment horizontal="center"/>
      <protection locked="0"/>
    </xf>
    <xf numFmtId="0" fontId="59" fillId="6" borderId="0" xfId="0" applyFont="1" applyFill="1" applyAlignment="1">
      <alignment horizontal="left"/>
    </xf>
    <xf numFmtId="0" fontId="19" fillId="2" borderId="0" xfId="0" applyFont="1" applyFill="1" applyAlignment="1">
      <alignment horizontal="right" vertical="center"/>
    </xf>
    <xf numFmtId="0" fontId="1" fillId="15" borderId="0" xfId="0" applyFont="1" applyFill="1" applyAlignment="1">
      <alignment horizontal="center" vertical="center"/>
    </xf>
    <xf numFmtId="0" fontId="1" fillId="15" borderId="43" xfId="0" applyFont="1" applyFill="1" applyBorder="1" applyAlignment="1">
      <alignment horizontal="center" vertical="center"/>
    </xf>
    <xf numFmtId="0" fontId="65" fillId="5" borderId="0" xfId="0" applyFont="1" applyFill="1" applyAlignment="1">
      <alignment horizontal="center" vertical="center" wrapText="1"/>
    </xf>
    <xf numFmtId="0" fontId="48" fillId="5" borderId="0" xfId="0" applyFont="1" applyFill="1" applyAlignment="1">
      <alignment horizontal="center"/>
    </xf>
    <xf numFmtId="0" fontId="0" fillId="0" borderId="0" xfId="0" applyAlignment="1">
      <alignment horizontal="center"/>
    </xf>
  </cellXfs>
  <cellStyles count="5">
    <cellStyle name="20% - Accent1" xfId="1" builtinId="30"/>
    <cellStyle name="60% - Accent1" xfId="2" builtinId="32"/>
    <cellStyle name="Comma" xfId="4" builtinId="3"/>
    <cellStyle name="Neutral" xfId="3" builtinId="28"/>
    <cellStyle name="Normal" xfId="0" builtinId="0"/>
  </cellStyles>
  <dxfs count="43">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theme="4" tint="0.39997558519241921"/>
        </top>
      </border>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bottom" textRotation="0" wrapText="0" indent="1"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none"/>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trike val="0"/>
        <outline val="0"/>
        <shadow val="0"/>
        <u val="none"/>
        <vertAlign val="baseline"/>
        <sz val="9"/>
        <color theme="1"/>
        <name val="Calibri"/>
        <family val="2"/>
        <scheme val="minor"/>
      </font>
      <numFmt numFmtId="166" formatCode="[$-409]dd\-mmm\-yy;@"/>
      <alignment horizontal="center" vertical="bottom"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alignment horizontal="center" vertical="bottom"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s>
  <tableStyles count="1" defaultTableStyle="TableStyleMedium2" defaultPivotStyle="PivotStyleLight16">
    <tableStyle name="Invisible" pivot="0" table="0" count="0" xr9:uid="{387D01E5-4AF9-4BD2-8153-F75942E6A135}"/>
  </tableStyles>
  <colors>
    <mruColors>
      <color rgb="FFCCECF8"/>
      <color rgb="FFE8F7FC"/>
      <color rgb="FFED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66261</xdr:colOff>
      <xdr:row>0</xdr:row>
      <xdr:rowOff>39757</xdr:rowOff>
    </xdr:from>
    <xdr:to>
      <xdr:col>1</xdr:col>
      <xdr:colOff>1715178</xdr:colOff>
      <xdr:row>1</xdr:row>
      <xdr:rowOff>32472</xdr:rowOff>
    </xdr:to>
    <xdr:pic>
      <xdr:nvPicPr>
        <xdr:cNvPr id="3" name="Picture 2">
          <a:extLst>
            <a:ext uri="{FF2B5EF4-FFF2-40B4-BE49-F238E27FC236}">
              <a16:creationId xmlns:a16="http://schemas.microsoft.com/office/drawing/2014/main" id="{3FA6C3E2-0DAA-2344-3540-9E415E99D92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261" y="39757"/>
          <a:ext cx="1834447" cy="900489"/>
        </a:xfrm>
        <a:prstGeom prst="rect">
          <a:avLst/>
        </a:prstGeom>
      </xdr:spPr>
    </xdr:pic>
    <xdr:clientData/>
  </xdr:twoCellAnchor>
  <xdr:twoCellAnchor editAs="absolute">
    <xdr:from>
      <xdr:col>2</xdr:col>
      <xdr:colOff>3659254</xdr:colOff>
      <xdr:row>0</xdr:row>
      <xdr:rowOff>340914</xdr:rowOff>
    </xdr:from>
    <xdr:to>
      <xdr:col>3</xdr:col>
      <xdr:colOff>8977</xdr:colOff>
      <xdr:row>0</xdr:row>
      <xdr:rowOff>639088</xdr:rowOff>
    </xdr:to>
    <xdr:pic>
      <xdr:nvPicPr>
        <xdr:cNvPr id="5" name="Picture 4">
          <a:extLst>
            <a:ext uri="{FF2B5EF4-FFF2-40B4-BE49-F238E27FC236}">
              <a16:creationId xmlns:a16="http://schemas.microsoft.com/office/drawing/2014/main" id="{0A48D7B8-52C7-B4CF-9788-A4D9A8C060F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544297" y="340914"/>
          <a:ext cx="1239776" cy="2981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1</xdr:row>
      <xdr:rowOff>143758</xdr:rowOff>
    </xdr:from>
    <xdr:to>
      <xdr:col>13</xdr:col>
      <xdr:colOff>331610</xdr:colOff>
      <xdr:row>22</xdr:row>
      <xdr:rowOff>151695</xdr:rowOff>
    </xdr:to>
    <xdr:pic>
      <xdr:nvPicPr>
        <xdr:cNvPr id="2" name="Graphic 1">
          <a:extLst>
            <a:ext uri="{FF2B5EF4-FFF2-40B4-BE49-F238E27FC236}">
              <a16:creationId xmlns:a16="http://schemas.microsoft.com/office/drawing/2014/main" id="{FB9477CB-5E12-461A-96EF-7B5AF4B6CB3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581202"/>
          <a:ext cx="8029221" cy="451643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571500</xdr:colOff>
      <xdr:row>0</xdr:row>
      <xdr:rowOff>152400</xdr:rowOff>
    </xdr:from>
    <xdr:to>
      <xdr:col>2</xdr:col>
      <xdr:colOff>1265285</xdr:colOff>
      <xdr:row>3</xdr:row>
      <xdr:rowOff>77590</xdr:rowOff>
    </xdr:to>
    <xdr:pic>
      <xdr:nvPicPr>
        <xdr:cNvPr id="3" name="Picture 2">
          <a:extLst>
            <a:ext uri="{FF2B5EF4-FFF2-40B4-BE49-F238E27FC236}">
              <a16:creationId xmlns:a16="http://schemas.microsoft.com/office/drawing/2014/main" id="{D87464D5-CE68-7213-EAFB-754007ED98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500" y="152400"/>
          <a:ext cx="1970135" cy="47383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futtaimgroup.sharepoint.com/sites/PMOBPMBE/Shared%20Documents/PMO%20Roadmaps,%20Reports%20and%20Others/Demand%20&amp;%20Project%20Management%20Templates%20and%20SOP's/Template/PMO_desktop/estimation%20exercise/TCO%20Template%20Examp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CO"/>
      <sheetName val="Imple-Services"/>
      <sheetName val="Resource Plan"/>
      <sheetName val="Imple-Travel &amp; Acc"/>
      <sheetName val="Software-SAP"/>
      <sheetName val="SAP Engine costs Ref Sheet"/>
      <sheetName val="For Business Case"/>
      <sheetName val="Software_Non-SAP"/>
      <sheetName val="Assumptions"/>
      <sheetName val="Parameters"/>
      <sheetName val="Misc"/>
      <sheetName val="Selection Criteri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A942DF2-0F44-41A3-8470-CF44E258B04F}" name="Table12" displayName="Table12" ref="B5:E11" totalsRowShown="0" headerRowDxfId="42" dataDxfId="41">
  <autoFilter ref="B5:E11" xr:uid="{0A942DF2-0F44-41A3-8470-CF44E258B04F}"/>
  <tableColumns count="4">
    <tableColumn id="1" xr3:uid="{CD5AA73E-1E5E-40EA-A35F-9FE590559A1A}" name="Version " dataDxfId="40"/>
    <tableColumn id="2" xr3:uid="{05181942-3F0B-4408-8014-7EA49B969070}" name="History Description" dataDxfId="39"/>
    <tableColumn id="3" xr3:uid="{501C1FE5-2536-4CF3-B381-A44624B72101}" name="Modified By" dataDxfId="38"/>
    <tableColumn id="4" xr3:uid="{F3CE4F05-2AFC-4E46-AEF2-3556A4E2F609}" name="Modified Date" dataDxfId="37"/>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47EFC99-28F7-482A-8664-D1C83452DE35}" name="Chapters" displayName="Chapters" ref="A14:A23" totalsRowShown="0" headerRowDxfId="36" dataDxfId="35">
  <autoFilter ref="A14:A23" xr:uid="{B47EFC99-28F7-482A-8664-D1C83452DE35}"/>
  <tableColumns count="1">
    <tableColumn id="1" xr3:uid="{72BF0244-26F7-4F47-B293-2A97685D517B}" name="Chapters" dataDxfId="3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1C06723-5A6D-450F-A72C-D4EE0EA8A242}" name="DigitalEngineering" displayName="DigitalEngineering" ref="C14:C17" totalsRowShown="0" headerRowDxfId="33" dataDxfId="32">
  <autoFilter ref="C14:C17" xr:uid="{51C06723-5A6D-450F-A72C-D4EE0EA8A242}"/>
  <tableColumns count="1">
    <tableColumn id="1" xr3:uid="{1EDA0821-C759-410D-8480-4CF50FFB33D4}" name="Digital Engineering" dataDxfId="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27B65BE-39AF-45A3-ADE4-9E7078A43146}" name="SAPEngineering" displayName="SAPEngineering" ref="D14:D19" totalsRowShown="0" headerRowDxfId="30" dataDxfId="29">
  <autoFilter ref="D14:D19" xr:uid="{A27B65BE-39AF-45A3-ADE4-9E7078A43146}"/>
  <tableColumns count="1">
    <tableColumn id="1" xr3:uid="{E5C0A4B9-B53D-458D-87EF-0435322E4FAE}" name="SAP Engineering" dataDxfId="2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9EC6AEB-8E22-4A23-8652-8D89B780F0B3}" name="UXDesign" displayName="UXDesign" ref="E14:F16" totalsRowShown="0" headerRowDxfId="27" dataDxfId="26">
  <autoFilter ref="E14:F16" xr:uid="{89EC6AEB-8E22-4A23-8652-8D89B780F0B3}"/>
  <tableColumns count="2">
    <tableColumn id="1" xr3:uid="{78004A45-E6B5-469B-B527-C1BB820AA8BB}" name="UX Design" dataDxfId="25"/>
    <tableColumn id="2" xr3:uid="{F878726A-0339-4894-AA24-9419EB62A41D}" name="Data Engineering" dataDxfId="2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37F9A83-5312-436B-8574-AF173F466D8F}" name="Table4" displayName="Table4" ref="G14:G17" totalsRowShown="0" headerRowDxfId="23" dataDxfId="22">
  <autoFilter ref="G14:G17" xr:uid="{237F9A83-5312-436B-8574-AF173F466D8F}"/>
  <tableColumns count="1">
    <tableColumn id="1" xr3:uid="{00176C5A-9947-4CA9-913D-78AD5F2C877F}" name="LOB" dataDxfId="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4263C75-40B3-4A41-AE23-E41F402AB822}" name="EntPlatformServices" displayName="EntPlatformServices" ref="H14:H20" totalsRowShown="0" headerRowDxfId="20" dataDxfId="19">
  <autoFilter ref="H14:H20" xr:uid="{74263C75-40B3-4A41-AE23-E41F402AB822}"/>
  <tableColumns count="1">
    <tableColumn id="1" xr3:uid="{50504092-FF8D-436B-9D68-A2F4353E0F3D}" name="Ent. Platform Services" dataDxfId="1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F942901-A00D-4A51-A3FF-2991F4B10BB5}" name="EntArchitecture" displayName="EntArchitecture" ref="I14:I16" totalsRowShown="0" headerRowDxfId="17" dataDxfId="16">
  <autoFilter ref="I14:I16" xr:uid="{3F942901-A00D-4A51-A3FF-2991F4B10BB5}"/>
  <tableColumns count="1">
    <tableColumn id="1" xr3:uid="{14F1440A-7ECD-43C6-884A-C454147EB2A8}" name="Ent Architecture"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D5572F3-1D1D-42D6-9490-438B7B1B41FC}" name="CYBERSECURITY" displayName="CYBERSECURITY" ref="J14:K24" totalsRowShown="0" headerRowDxfId="14" dataDxfId="13">
  <autoFilter ref="J14:K24" xr:uid="{DD5572F3-1D1D-42D6-9490-438B7B1B41FC}"/>
  <tableColumns count="2">
    <tableColumn id="1" xr3:uid="{429A41AA-3AD0-4571-9719-F4E4F6FA85C3}" name="Cybersecurity" dataDxfId="12"/>
    <tableColumn id="2" xr3:uid="{D8C48CFA-93A3-44F0-B7D9-C280CE89B424}" name="Cutom Roles" dataDxfId="1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B22AD41-BE7F-4C59-93B4-77DA381E5A27}" name="PPM" displayName="PPM" ref="L14:L21" totalsRowShown="0" headerRowDxfId="10" dataDxfId="9">
  <autoFilter ref="L14:L21" xr:uid="{1B22AD41-BE7F-4C59-93B4-77DA381E5A27}"/>
  <tableColumns count="1">
    <tableColumn id="1" xr3:uid="{447B624B-EAA8-4640-B51F-CA78304740D6}" name="PPM" dataDxfId="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48E5E42-306D-4919-9DD1-D7AA9B7DF21F}" name="ResourceType" displayName="ResourceType" ref="A68:A72" totalsRowShown="0" headerRowDxfId="7">
  <autoFilter ref="A68:A72" xr:uid="{148E5E42-306D-4919-9DD1-D7AA9B7DF21F}"/>
  <tableColumns count="1">
    <tableColumn id="1" xr3:uid="{5BDC59EB-74E0-4DAD-9DB0-715BD4C0A567}" name="Resource Typ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E37A944-4B35-46C4-8490-2CA39AC39073}" name="Table11" displayName="Table11" ref="A78:A82" totalsRowShown="0" headerRowDxfId="6" dataDxfId="4" headerRowBorderDxfId="5" tableBorderDxfId="3">
  <autoFilter ref="A78:A82" xr:uid="{7E37A944-4B35-46C4-8490-2CA39AC39073}"/>
  <tableColumns count="1">
    <tableColumn id="1" xr3:uid="{CE1F6324-9791-403C-A6FB-A2242FFEDD0E}" name="Travel_ACC" dataDxfId="2"/>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printerSettings" Target="../printerSettings/printerSettings14.bin"/><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E84"/>
  <sheetViews>
    <sheetView showGridLines="0" showRowColHeaders="0" tabSelected="1" topLeftCell="B1" zoomScale="115" zoomScaleNormal="115" workbookViewId="0">
      <pane ySplit="25" topLeftCell="A82" activePane="bottomLeft" state="frozen"/>
      <selection pane="bottomLeft" activeCell="C6" sqref="C6"/>
    </sheetView>
  </sheetViews>
  <sheetFormatPr defaultRowHeight="14.5" outlineLevelRow="1" x14ac:dyDescent="0.35"/>
  <cols>
    <col min="1" max="1" width="2.6328125" bestFit="1" customWidth="1"/>
    <col min="2" max="2" width="112.36328125" style="216" customWidth="1"/>
    <col min="3" max="3" width="71.36328125" customWidth="1"/>
  </cols>
  <sheetData>
    <row r="1" spans="1:3" ht="71.400000000000006" customHeight="1" x14ac:dyDescent="0.35"/>
    <row r="2" spans="1:3" s="287" customFormat="1" ht="15" customHeight="1" x14ac:dyDescent="0.35">
      <c r="B2" s="364" t="s">
        <v>0</v>
      </c>
    </row>
    <row r="3" spans="1:3" ht="18" customHeight="1" x14ac:dyDescent="0.35">
      <c r="B3" s="455" t="s">
        <v>1</v>
      </c>
      <c r="C3" s="455"/>
    </row>
    <row r="4" spans="1:3" s="287" customFormat="1" ht="18" customHeight="1" x14ac:dyDescent="0.35">
      <c r="B4" s="288" t="s">
        <v>2</v>
      </c>
      <c r="C4" s="291" t="s">
        <v>3</v>
      </c>
    </row>
    <row r="5" spans="1:3" s="287" customFormat="1" ht="18" customHeight="1" x14ac:dyDescent="0.35">
      <c r="B5" s="288" t="s">
        <v>4</v>
      </c>
      <c r="C5" s="291" t="s">
        <v>5</v>
      </c>
    </row>
    <row r="6" spans="1:3" s="287" customFormat="1" ht="26" x14ac:dyDescent="0.35">
      <c r="B6" s="288" t="s">
        <v>6</v>
      </c>
      <c r="C6" s="292" t="s">
        <v>399</v>
      </c>
    </row>
    <row r="7" spans="1:3" s="287" customFormat="1" ht="18" customHeight="1" x14ac:dyDescent="0.35">
      <c r="B7" s="288" t="s">
        <v>8</v>
      </c>
      <c r="C7" s="291" t="s">
        <v>9</v>
      </c>
    </row>
    <row r="8" spans="1:3" s="287" customFormat="1" ht="18" customHeight="1" x14ac:dyDescent="0.35">
      <c r="B8" s="288" t="s">
        <v>10</v>
      </c>
      <c r="C8" s="291" t="s">
        <v>11</v>
      </c>
    </row>
    <row r="9" spans="1:3" s="287" customFormat="1" ht="18" customHeight="1" x14ac:dyDescent="0.35">
      <c r="B9" s="288" t="s">
        <v>12</v>
      </c>
      <c r="C9" s="291" t="s">
        <v>13</v>
      </c>
    </row>
    <row r="10" spans="1:3" s="287" customFormat="1" ht="18" customHeight="1" x14ac:dyDescent="0.35">
      <c r="B10" s="288" t="s">
        <v>14</v>
      </c>
      <c r="C10" s="291" t="s">
        <v>15</v>
      </c>
    </row>
    <row r="11" spans="1:3" s="287" customFormat="1" ht="18" customHeight="1" x14ac:dyDescent="0.35">
      <c r="B11" s="288" t="s">
        <v>16</v>
      </c>
      <c r="C11" s="291" t="s">
        <v>11</v>
      </c>
    </row>
    <row r="12" spans="1:3" x14ac:dyDescent="0.35">
      <c r="B12" s="289"/>
      <c r="C12" s="290"/>
    </row>
    <row r="13" spans="1:3" ht="18.5" hidden="1" x14ac:dyDescent="0.45">
      <c r="B13" s="456" t="s">
        <v>17</v>
      </c>
      <c r="C13" s="456"/>
    </row>
    <row r="14" spans="1:3" hidden="1" x14ac:dyDescent="0.35">
      <c r="A14">
        <v>1</v>
      </c>
      <c r="B14" s="453" t="s">
        <v>18</v>
      </c>
      <c r="C14" s="453"/>
    </row>
    <row r="15" spans="1:3" hidden="1" x14ac:dyDescent="0.35">
      <c r="A15">
        <v>2</v>
      </c>
      <c r="B15" s="210" t="s">
        <v>19</v>
      </c>
      <c r="C15" s="148"/>
    </row>
    <row r="16" spans="1:3" hidden="1" x14ac:dyDescent="0.35">
      <c r="A16">
        <v>3</v>
      </c>
      <c r="B16" s="453" t="s">
        <v>20</v>
      </c>
      <c r="C16" s="453"/>
    </row>
    <row r="17" spans="1:3" hidden="1" x14ac:dyDescent="0.35">
      <c r="A17">
        <v>4</v>
      </c>
      <c r="B17" s="453" t="s">
        <v>21</v>
      </c>
      <c r="C17" s="453"/>
    </row>
    <row r="18" spans="1:3" hidden="1" x14ac:dyDescent="0.35">
      <c r="A18">
        <v>5</v>
      </c>
      <c r="B18" s="453" t="s">
        <v>22</v>
      </c>
      <c r="C18" s="453"/>
    </row>
    <row r="19" spans="1:3" hidden="1" x14ac:dyDescent="0.35">
      <c r="A19">
        <v>6</v>
      </c>
      <c r="B19" s="453" t="s">
        <v>23</v>
      </c>
      <c r="C19" s="453"/>
    </row>
    <row r="20" spans="1:3" hidden="1" x14ac:dyDescent="0.35">
      <c r="A20">
        <v>7</v>
      </c>
      <c r="B20" s="453" t="s">
        <v>24</v>
      </c>
      <c r="C20" s="453"/>
    </row>
    <row r="21" spans="1:3" hidden="1" x14ac:dyDescent="0.35">
      <c r="A21">
        <v>8</v>
      </c>
      <c r="B21" s="453" t="s">
        <v>25</v>
      </c>
      <c r="C21" s="453"/>
    </row>
    <row r="22" spans="1:3" hidden="1" x14ac:dyDescent="0.35">
      <c r="A22">
        <v>9</v>
      </c>
      <c r="B22" s="453" t="s">
        <v>26</v>
      </c>
      <c r="C22" s="453"/>
    </row>
    <row r="23" spans="1:3" hidden="1" x14ac:dyDescent="0.35">
      <c r="A23">
        <v>10</v>
      </c>
      <c r="B23" s="453" t="s">
        <v>27</v>
      </c>
      <c r="C23" s="453"/>
    </row>
    <row r="24" spans="1:3" ht="28.25" hidden="1" customHeight="1" x14ac:dyDescent="0.35">
      <c r="B24" s="454" t="s">
        <v>28</v>
      </c>
      <c r="C24" s="454"/>
    </row>
    <row r="25" spans="1:3" ht="18.5" x14ac:dyDescent="0.45">
      <c r="B25" s="452" t="s">
        <v>29</v>
      </c>
      <c r="C25" s="452"/>
    </row>
    <row r="26" spans="1:3" ht="19.25" customHeight="1" x14ac:dyDescent="0.5">
      <c r="B26" s="451" t="s">
        <v>30</v>
      </c>
      <c r="C26" s="451"/>
    </row>
    <row r="27" spans="1:3" s="273" customFormat="1" ht="12" hidden="1" customHeight="1" outlineLevel="1" x14ac:dyDescent="0.35">
      <c r="B27" s="274" t="s">
        <v>31</v>
      </c>
      <c r="C27" s="275" t="s">
        <v>32</v>
      </c>
    </row>
    <row r="28" spans="1:3" s="273" customFormat="1" ht="12" hidden="1" customHeight="1" outlineLevel="1" x14ac:dyDescent="0.35">
      <c r="B28" s="277" t="s">
        <v>33</v>
      </c>
      <c r="C28" s="278" t="s">
        <v>34</v>
      </c>
    </row>
    <row r="29" spans="1:3" s="273" customFormat="1" ht="12" hidden="1" customHeight="1" outlineLevel="1" x14ac:dyDescent="0.35">
      <c r="B29" s="277" t="s">
        <v>35</v>
      </c>
      <c r="C29" s="278" t="s">
        <v>36</v>
      </c>
    </row>
    <row r="30" spans="1:3" s="273" customFormat="1" ht="12" hidden="1" customHeight="1" outlineLevel="1" x14ac:dyDescent="0.35">
      <c r="B30" s="277" t="s">
        <v>37</v>
      </c>
      <c r="C30" s="278" t="s">
        <v>36</v>
      </c>
    </row>
    <row r="31" spans="1:3" s="273" customFormat="1" ht="12" hidden="1" customHeight="1" outlineLevel="1" x14ac:dyDescent="0.35">
      <c r="B31" s="277" t="s">
        <v>38</v>
      </c>
      <c r="C31" s="278" t="s">
        <v>36</v>
      </c>
    </row>
    <row r="32" spans="1:3" s="273" customFormat="1" ht="12" hidden="1" customHeight="1" outlineLevel="1" x14ac:dyDescent="0.35">
      <c r="B32" s="277" t="s">
        <v>39</v>
      </c>
      <c r="C32" s="278" t="s">
        <v>36</v>
      </c>
    </row>
    <row r="33" spans="2:3" s="273" customFormat="1" ht="12" hidden="1" customHeight="1" outlineLevel="1" x14ac:dyDescent="0.35">
      <c r="B33" s="276"/>
    </row>
    <row r="34" spans="2:3" s="273" customFormat="1" ht="12" hidden="1" customHeight="1" outlineLevel="1" x14ac:dyDescent="0.35">
      <c r="B34" s="274" t="s">
        <v>40</v>
      </c>
      <c r="C34" s="275" t="s">
        <v>32</v>
      </c>
    </row>
    <row r="35" spans="2:3" s="273" customFormat="1" ht="12" hidden="1" customHeight="1" outlineLevel="1" x14ac:dyDescent="0.35">
      <c r="B35" s="277" t="s">
        <v>41</v>
      </c>
      <c r="C35" s="278" t="s">
        <v>42</v>
      </c>
    </row>
    <row r="36" spans="2:3" s="273" customFormat="1" ht="12" hidden="1" customHeight="1" outlineLevel="1" x14ac:dyDescent="0.35">
      <c r="B36" s="277" t="s">
        <v>43</v>
      </c>
      <c r="C36" s="278" t="s">
        <v>42</v>
      </c>
    </row>
    <row r="37" spans="2:3" s="273" customFormat="1" ht="12" hidden="1" customHeight="1" outlineLevel="1" x14ac:dyDescent="0.35">
      <c r="B37" s="277" t="s">
        <v>44</v>
      </c>
      <c r="C37" s="278" t="s">
        <v>45</v>
      </c>
    </row>
    <row r="38" spans="2:3" s="273" customFormat="1" ht="12" hidden="1" customHeight="1" outlineLevel="1" x14ac:dyDescent="0.35">
      <c r="B38" s="276"/>
    </row>
    <row r="39" spans="2:3" s="273" customFormat="1" ht="12" hidden="1" customHeight="1" outlineLevel="1" x14ac:dyDescent="0.35">
      <c r="B39" s="274" t="s">
        <v>46</v>
      </c>
      <c r="C39" s="275" t="s">
        <v>32</v>
      </c>
    </row>
    <row r="40" spans="2:3" s="273" customFormat="1" ht="12" hidden="1" customHeight="1" outlineLevel="1" x14ac:dyDescent="0.35">
      <c r="B40" s="277" t="s">
        <v>47</v>
      </c>
      <c r="C40" s="278" t="s">
        <v>42</v>
      </c>
    </row>
    <row r="41" spans="2:3" s="273" customFormat="1" ht="12" hidden="1" customHeight="1" outlineLevel="1" x14ac:dyDescent="0.35">
      <c r="B41" s="277" t="s">
        <v>48</v>
      </c>
      <c r="C41" s="278" t="s">
        <v>42</v>
      </c>
    </row>
    <row r="42" spans="2:3" s="273" customFormat="1" ht="12" hidden="1" customHeight="1" outlineLevel="1" x14ac:dyDescent="0.35">
      <c r="B42" s="277" t="s">
        <v>49</v>
      </c>
      <c r="C42" s="278" t="s">
        <v>36</v>
      </c>
    </row>
    <row r="43" spans="2:3" s="273" customFormat="1" ht="12" hidden="1" customHeight="1" outlineLevel="1" x14ac:dyDescent="0.35">
      <c r="B43" s="276"/>
    </row>
    <row r="44" spans="2:3" s="273" customFormat="1" ht="12" hidden="1" customHeight="1" outlineLevel="1" x14ac:dyDescent="0.35">
      <c r="B44" s="274" t="s">
        <v>50</v>
      </c>
      <c r="C44" s="275" t="s">
        <v>32</v>
      </c>
    </row>
    <row r="45" spans="2:3" s="273" customFormat="1" ht="12" hidden="1" customHeight="1" outlineLevel="1" x14ac:dyDescent="0.35">
      <c r="B45" s="277" t="s">
        <v>51</v>
      </c>
      <c r="C45" s="278"/>
    </row>
    <row r="46" spans="2:3" s="273" customFormat="1" ht="12" hidden="1" customHeight="1" outlineLevel="1" x14ac:dyDescent="0.35">
      <c r="B46" s="277" t="s">
        <v>52</v>
      </c>
      <c r="C46" s="278"/>
    </row>
    <row r="47" spans="2:3" s="273" customFormat="1" ht="12" hidden="1" customHeight="1" outlineLevel="1" x14ac:dyDescent="0.35">
      <c r="B47" s="277" t="s">
        <v>53</v>
      </c>
      <c r="C47" s="278"/>
    </row>
    <row r="48" spans="2:3" s="273" customFormat="1" ht="12" hidden="1" customHeight="1" outlineLevel="1" x14ac:dyDescent="0.35">
      <c r="B48" s="276"/>
    </row>
    <row r="49" spans="2:5" s="273" customFormat="1" ht="12" hidden="1" customHeight="1" outlineLevel="1" x14ac:dyDescent="0.35">
      <c r="B49" s="274" t="s">
        <v>54</v>
      </c>
    </row>
    <row r="50" spans="2:5" s="273" customFormat="1" ht="12" hidden="1" customHeight="1" outlineLevel="1" x14ac:dyDescent="0.35">
      <c r="B50" s="277" t="s">
        <v>55</v>
      </c>
      <c r="C50" s="278" t="s">
        <v>36</v>
      </c>
    </row>
    <row r="51" spans="2:5" s="273" customFormat="1" ht="12" hidden="1" customHeight="1" outlineLevel="1" x14ac:dyDescent="0.35">
      <c r="B51" s="277" t="s">
        <v>56</v>
      </c>
      <c r="C51" s="278"/>
    </row>
    <row r="52" spans="2:5" s="273" customFormat="1" ht="12" hidden="1" customHeight="1" outlineLevel="1" x14ac:dyDescent="0.35">
      <c r="B52" s="276"/>
    </row>
    <row r="53" spans="2:5" s="273" customFormat="1" ht="12" hidden="1" customHeight="1" outlineLevel="1" x14ac:dyDescent="0.35">
      <c r="B53" s="274" t="s">
        <v>57</v>
      </c>
    </row>
    <row r="54" spans="2:5" s="273" customFormat="1" ht="12" hidden="1" customHeight="1" outlineLevel="1" x14ac:dyDescent="0.35">
      <c r="B54" s="277" t="s">
        <v>58</v>
      </c>
      <c r="C54" s="278"/>
    </row>
    <row r="55" spans="2:5" s="273" customFormat="1" ht="12" customHeight="1" collapsed="1" x14ac:dyDescent="0.35">
      <c r="B55" s="276"/>
    </row>
    <row r="56" spans="2:5" ht="19" x14ac:dyDescent="0.5">
      <c r="B56" s="451" t="s">
        <v>59</v>
      </c>
      <c r="C56" s="451"/>
    </row>
    <row r="57" spans="2:5" s="1" customFormat="1" ht="12" customHeight="1" outlineLevel="1" x14ac:dyDescent="0.3">
      <c r="B57" s="279" t="s">
        <v>60</v>
      </c>
      <c r="C57" s="282" t="s">
        <v>32</v>
      </c>
    </row>
    <row r="58" spans="2:5" s="1" customFormat="1" ht="12" customHeight="1" outlineLevel="1" x14ac:dyDescent="0.3">
      <c r="B58" s="284" t="s">
        <v>61</v>
      </c>
      <c r="C58" s="285" t="s">
        <v>36</v>
      </c>
    </row>
    <row r="59" spans="2:5" s="1" customFormat="1" ht="12" customHeight="1" outlineLevel="1" x14ac:dyDescent="0.3">
      <c r="B59" s="284" t="s">
        <v>62</v>
      </c>
      <c r="C59" s="285" t="s">
        <v>36</v>
      </c>
    </row>
    <row r="60" spans="2:5" s="1" customFormat="1" ht="12" customHeight="1" outlineLevel="1" x14ac:dyDescent="0.3">
      <c r="B60" s="284" t="s">
        <v>63</v>
      </c>
      <c r="C60" s="285" t="s">
        <v>64</v>
      </c>
    </row>
    <row r="61" spans="2:5" s="1" customFormat="1" ht="12" customHeight="1" outlineLevel="1" x14ac:dyDescent="0.3">
      <c r="B61" s="280"/>
      <c r="C61" s="283"/>
    </row>
    <row r="62" spans="2:5" s="1" customFormat="1" ht="12" customHeight="1" outlineLevel="1" x14ac:dyDescent="0.3">
      <c r="B62" s="279" t="s">
        <v>65</v>
      </c>
      <c r="C62" s="282" t="s">
        <v>32</v>
      </c>
      <c r="D62" s="281"/>
      <c r="E62" s="281"/>
    </row>
    <row r="63" spans="2:5" s="1" customFormat="1" ht="12" customHeight="1" outlineLevel="1" x14ac:dyDescent="0.3">
      <c r="B63" s="284" t="s">
        <v>66</v>
      </c>
      <c r="C63" s="285" t="s">
        <v>34</v>
      </c>
    </row>
    <row r="64" spans="2:5" s="1" customFormat="1" ht="12" customHeight="1" outlineLevel="1" x14ac:dyDescent="0.3">
      <c r="B64" s="280"/>
      <c r="C64" s="283"/>
    </row>
    <row r="65" spans="2:3" s="1" customFormat="1" ht="12" customHeight="1" outlineLevel="1" x14ac:dyDescent="0.3">
      <c r="B65" s="279" t="s">
        <v>67</v>
      </c>
      <c r="C65" s="282" t="s">
        <v>32</v>
      </c>
    </row>
    <row r="66" spans="2:3" s="1" customFormat="1" ht="12" customHeight="1" outlineLevel="1" x14ac:dyDescent="0.3">
      <c r="B66" s="284" t="s">
        <v>68</v>
      </c>
      <c r="C66" s="285" t="s">
        <v>69</v>
      </c>
    </row>
    <row r="67" spans="2:3" s="1" customFormat="1" ht="12" customHeight="1" outlineLevel="1" x14ac:dyDescent="0.3">
      <c r="B67" s="280"/>
      <c r="C67" s="283"/>
    </row>
    <row r="68" spans="2:3" s="1" customFormat="1" ht="12" customHeight="1" outlineLevel="1" x14ac:dyDescent="0.3">
      <c r="B68" s="279" t="s">
        <v>70</v>
      </c>
      <c r="C68" s="282" t="s">
        <v>32</v>
      </c>
    </row>
    <row r="69" spans="2:3" s="1" customFormat="1" ht="12" customHeight="1" outlineLevel="1" x14ac:dyDescent="0.3">
      <c r="B69" s="284" t="s">
        <v>71</v>
      </c>
      <c r="C69" s="285" t="s">
        <v>72</v>
      </c>
    </row>
    <row r="70" spans="2:3" s="271" customFormat="1" ht="12" customHeight="1" x14ac:dyDescent="0.3">
      <c r="B70" s="272"/>
    </row>
    <row r="71" spans="2:3" ht="19" x14ac:dyDescent="0.5">
      <c r="B71" s="451" t="s">
        <v>73</v>
      </c>
      <c r="C71" s="451"/>
    </row>
    <row r="72" spans="2:3" s="273" customFormat="1" ht="12" customHeight="1" outlineLevel="1" x14ac:dyDescent="0.35">
      <c r="B72" s="277" t="s">
        <v>74</v>
      </c>
    </row>
    <row r="73" spans="2:3" s="273" customFormat="1" ht="12" customHeight="1" outlineLevel="1" x14ac:dyDescent="0.35">
      <c r="B73" s="277" t="s">
        <v>75</v>
      </c>
    </row>
    <row r="74" spans="2:3" s="273" customFormat="1" ht="12" customHeight="1" x14ac:dyDescent="0.35">
      <c r="B74" s="276"/>
    </row>
    <row r="75" spans="2:3" ht="19" x14ac:dyDescent="0.5">
      <c r="B75" s="451" t="s">
        <v>76</v>
      </c>
      <c r="C75" s="451"/>
    </row>
    <row r="76" spans="2:3" s="278" customFormat="1" ht="12" customHeight="1" outlineLevel="1" x14ac:dyDescent="0.35">
      <c r="B76" s="286" t="s">
        <v>77</v>
      </c>
    </row>
    <row r="77" spans="2:3" s="278" customFormat="1" ht="12" customHeight="1" outlineLevel="1" x14ac:dyDescent="0.35">
      <c r="B77" s="286" t="s">
        <v>78</v>
      </c>
    </row>
    <row r="78" spans="2:3" s="278" customFormat="1" ht="12" customHeight="1" outlineLevel="1" x14ac:dyDescent="0.35">
      <c r="B78" s="286" t="s">
        <v>79</v>
      </c>
    </row>
    <row r="79" spans="2:3" s="278" customFormat="1" ht="12" customHeight="1" outlineLevel="1" x14ac:dyDescent="0.35">
      <c r="B79" s="286" t="s">
        <v>80</v>
      </c>
    </row>
    <row r="80" spans="2:3" s="278" customFormat="1" ht="12" customHeight="1" outlineLevel="1" x14ac:dyDescent="0.35">
      <c r="B80" s="286" t="s">
        <v>81</v>
      </c>
    </row>
    <row r="81" spans="2:2" s="278" customFormat="1" ht="12" customHeight="1" outlineLevel="1" x14ac:dyDescent="0.35">
      <c r="B81" s="286" t="s">
        <v>82</v>
      </c>
    </row>
    <row r="82" spans="2:2" s="278" customFormat="1" ht="12" customHeight="1" outlineLevel="1" x14ac:dyDescent="0.35">
      <c r="B82" s="286" t="s">
        <v>83</v>
      </c>
    </row>
    <row r="83" spans="2:2" s="278" customFormat="1" ht="12" customHeight="1" outlineLevel="1" x14ac:dyDescent="0.35">
      <c r="B83" s="286" t="s">
        <v>84</v>
      </c>
    </row>
    <row r="84" spans="2:2" s="278" customFormat="1" ht="12" customHeight="1" outlineLevel="1" x14ac:dyDescent="0.35">
      <c r="B84" s="286" t="s">
        <v>85</v>
      </c>
    </row>
  </sheetData>
  <sheetProtection sheet="1" objects="1" scenarios="1" formatRows="0" insertRows="0"/>
  <mergeCells count="17">
    <mergeCell ref="B3:C3"/>
    <mergeCell ref="B13:C13"/>
    <mergeCell ref="B14:C14"/>
    <mergeCell ref="B16:C16"/>
    <mergeCell ref="B17:C17"/>
    <mergeCell ref="B18:C18"/>
    <mergeCell ref="B24:C24"/>
    <mergeCell ref="B19:C19"/>
    <mergeCell ref="B20:C20"/>
    <mergeCell ref="B21:C21"/>
    <mergeCell ref="B22:C22"/>
    <mergeCell ref="B23:C23"/>
    <mergeCell ref="B75:C75"/>
    <mergeCell ref="B25:C25"/>
    <mergeCell ref="B26:C26"/>
    <mergeCell ref="B56:C56"/>
    <mergeCell ref="B71:C71"/>
  </mergeCells>
  <phoneticPr fontId="6" type="noConversion"/>
  <pageMargins left="0.7" right="0.7" top="0.75" bottom="0.75" header="0.3" footer="0.3"/>
  <pageSetup paperSize="9" orientation="portrait" r:id="rId1"/>
  <headerFooter>
    <oddFooter>&amp;C_x000D_&amp;1#&amp;"Calibri"&amp;10&amp;K000000 Restricted : General Al-Futtaim Group</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CBD1913-31F6-4A5B-BD86-470B6BA10337}">
          <x14:formula1>
            <xm:f>Lists!$B$3:$B$4</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95"/>
  <sheetViews>
    <sheetView topLeftCell="A64" zoomScale="80" zoomScaleNormal="80" workbookViewId="0">
      <selection activeCell="C83" sqref="C83:E83"/>
    </sheetView>
  </sheetViews>
  <sheetFormatPr defaultRowHeight="14.5" x14ac:dyDescent="0.35"/>
  <cols>
    <col min="1" max="1" width="47.6328125" bestFit="1" customWidth="1"/>
    <col min="2" max="2" width="33.54296875" bestFit="1" customWidth="1"/>
    <col min="3" max="3" width="25.36328125" customWidth="1"/>
    <col min="4" max="8" width="15.54296875" customWidth="1"/>
    <col min="9" max="9" width="17.54296875" customWidth="1"/>
    <col min="15" max="15" width="9.36328125" bestFit="1" customWidth="1"/>
  </cols>
  <sheetData>
    <row r="1" spans="1:5" ht="32.75" customHeight="1" x14ac:dyDescent="0.35">
      <c r="A1" s="459" t="s">
        <v>86</v>
      </c>
      <c r="B1" s="459"/>
      <c r="C1" s="459"/>
      <c r="D1" s="111"/>
      <c r="E1" s="111"/>
    </row>
    <row r="2" spans="1:5" ht="30.65" customHeight="1" x14ac:dyDescent="0.35">
      <c r="A2" s="133" t="s">
        <v>87</v>
      </c>
      <c r="B2" s="132" t="str">
        <f>IF(Intro!C6="Agile ", "Agile", "Waterfall")</f>
        <v>Waterfall</v>
      </c>
    </row>
    <row r="3" spans="1:5" ht="30.65" customHeight="1" x14ac:dyDescent="0.45">
      <c r="A3" s="144" t="s">
        <v>30</v>
      </c>
      <c r="B3" s="144"/>
      <c r="C3" s="144"/>
    </row>
    <row r="4" spans="1:5" ht="19.25" customHeight="1" x14ac:dyDescent="0.35">
      <c r="A4" s="464"/>
      <c r="B4" s="465"/>
      <c r="C4" s="14" t="s">
        <v>88</v>
      </c>
    </row>
    <row r="5" spans="1:5" ht="15" customHeight="1" x14ac:dyDescent="0.35">
      <c r="A5" s="114" t="s">
        <v>89</v>
      </c>
      <c r="B5" s="73"/>
      <c r="C5" s="74">
        <f>SUBTOTAL(9,C6:C11)</f>
        <v>4500187.5</v>
      </c>
    </row>
    <row r="6" spans="1:5" ht="15.5" x14ac:dyDescent="0.35">
      <c r="A6" s="102" t="s">
        <v>90</v>
      </c>
      <c r="B6" s="112"/>
      <c r="C6" s="75">
        <f>IF(B2="Agile", 'CAPEX - Agile'!$S$70,'CAPEX - Waterfall'!$K$41)</f>
        <v>4447567.5</v>
      </c>
    </row>
    <row r="7" spans="1:5" ht="15.5" x14ac:dyDescent="0.35">
      <c r="A7" s="102" t="s">
        <v>91</v>
      </c>
      <c r="B7" s="112"/>
      <c r="C7" s="75">
        <f>'CAPEX - Others'!E5</f>
        <v>20000</v>
      </c>
    </row>
    <row r="8" spans="1:5" ht="15.5" x14ac:dyDescent="0.35">
      <c r="A8" s="102" t="s">
        <v>92</v>
      </c>
      <c r="B8" s="112"/>
      <c r="C8" s="75">
        <f>'CAPEX - Others'!E6</f>
        <v>4000</v>
      </c>
    </row>
    <row r="9" spans="1:5" ht="15.5" x14ac:dyDescent="0.35">
      <c r="A9" s="102" t="s">
        <v>93</v>
      </c>
      <c r="B9" s="112"/>
      <c r="C9" s="75">
        <f>'CAPEX - Others'!E7</f>
        <v>6000</v>
      </c>
    </row>
    <row r="10" spans="1:5" ht="15.5" x14ac:dyDescent="0.35">
      <c r="A10" s="102" t="s">
        <v>94</v>
      </c>
      <c r="B10" s="112"/>
      <c r="C10" s="75">
        <f>'CAPEX - Others'!E8</f>
        <v>600</v>
      </c>
    </row>
    <row r="11" spans="1:5" ht="15.5" x14ac:dyDescent="0.35">
      <c r="A11" s="102" t="s">
        <v>95</v>
      </c>
      <c r="B11" s="112"/>
      <c r="C11" s="75">
        <f>'CAPEX - Others'!E28</f>
        <v>22020</v>
      </c>
    </row>
    <row r="12" spans="1:5" ht="15.5" x14ac:dyDescent="0.35">
      <c r="A12" s="102"/>
      <c r="B12" s="208"/>
      <c r="C12" s="209"/>
    </row>
    <row r="13" spans="1:5" ht="15.5" x14ac:dyDescent="0.35">
      <c r="A13" s="102"/>
      <c r="B13" s="208"/>
      <c r="C13" s="209"/>
    </row>
    <row r="14" spans="1:5" ht="15.5" x14ac:dyDescent="0.35">
      <c r="A14" s="102"/>
      <c r="B14" s="208"/>
      <c r="C14" s="209"/>
    </row>
    <row r="15" spans="1:5" ht="15.5" x14ac:dyDescent="0.35">
      <c r="A15" s="102"/>
      <c r="B15" s="208"/>
      <c r="C15" s="209"/>
    </row>
    <row r="16" spans="1:5" ht="15.5" x14ac:dyDescent="0.35">
      <c r="A16" s="102"/>
      <c r="B16" s="208"/>
      <c r="C16" s="209"/>
    </row>
    <row r="17" spans="1:3" ht="15.5" x14ac:dyDescent="0.35">
      <c r="A17" s="102"/>
      <c r="B17" s="208"/>
      <c r="C17" s="209"/>
    </row>
    <row r="18" spans="1:3" ht="15.5" x14ac:dyDescent="0.35">
      <c r="A18" s="102"/>
      <c r="B18" s="208"/>
      <c r="C18" s="209"/>
    </row>
    <row r="19" spans="1:3" ht="15.5" x14ac:dyDescent="0.35">
      <c r="A19" s="102"/>
      <c r="B19" s="208"/>
      <c r="C19" s="209"/>
    </row>
    <row r="20" spans="1:3" ht="15.5" x14ac:dyDescent="0.35">
      <c r="A20" s="102"/>
      <c r="B20" s="208"/>
      <c r="C20" s="209"/>
    </row>
    <row r="21" spans="1:3" ht="15.5" x14ac:dyDescent="0.35">
      <c r="A21" s="102"/>
      <c r="B21" s="208"/>
      <c r="C21" s="209"/>
    </row>
    <row r="22" spans="1:3" ht="15.5" x14ac:dyDescent="0.35">
      <c r="A22" s="102"/>
      <c r="B22" s="208"/>
      <c r="C22" s="209"/>
    </row>
    <row r="23" spans="1:3" ht="15.5" x14ac:dyDescent="0.35">
      <c r="A23" s="102"/>
      <c r="B23" s="208"/>
      <c r="C23" s="209"/>
    </row>
    <row r="24" spans="1:3" ht="15.5" x14ac:dyDescent="0.35">
      <c r="A24" s="114" t="s">
        <v>96</v>
      </c>
      <c r="B24" s="73"/>
      <c r="C24" s="74">
        <f>SUBTOTAL(9,C25:C30)</f>
        <v>72000</v>
      </c>
    </row>
    <row r="25" spans="1:3" ht="15.5" x14ac:dyDescent="0.35">
      <c r="A25" s="102" t="s">
        <v>97</v>
      </c>
      <c r="B25" s="112"/>
      <c r="C25" s="75">
        <f>'CAPEX - Others'!F34</f>
        <v>50000</v>
      </c>
    </row>
    <row r="26" spans="1:3" ht="15.65" customHeight="1" x14ac:dyDescent="0.35">
      <c r="A26" s="102" t="s">
        <v>98</v>
      </c>
      <c r="B26" s="112"/>
      <c r="C26" s="75">
        <f>'CAPEX - Others'!F35</f>
        <v>10000</v>
      </c>
    </row>
    <row r="27" spans="1:3" ht="15.5" x14ac:dyDescent="0.35">
      <c r="A27" s="102" t="s">
        <v>99</v>
      </c>
      <c r="B27" s="112"/>
      <c r="C27" s="75">
        <f>'CAPEX - Others'!F36</f>
        <v>12000</v>
      </c>
    </row>
    <row r="28" spans="1:3" ht="15.5" x14ac:dyDescent="0.35">
      <c r="A28" s="102" t="s">
        <v>100</v>
      </c>
      <c r="B28" s="112"/>
      <c r="C28" s="75">
        <f>'CAPEX - Others'!F37</f>
        <v>0</v>
      </c>
    </row>
    <row r="29" spans="1:3" ht="15.5" x14ac:dyDescent="0.35">
      <c r="A29" s="102" t="s">
        <v>101</v>
      </c>
      <c r="B29" s="112"/>
      <c r="C29" s="75">
        <f>'CAPEX - Others'!F38</f>
        <v>0</v>
      </c>
    </row>
    <row r="30" spans="1:3" ht="15.5" x14ac:dyDescent="0.35">
      <c r="A30" s="102" t="s">
        <v>102</v>
      </c>
      <c r="B30" s="112"/>
      <c r="C30" s="75">
        <f>'CAPEX - Others'!F39</f>
        <v>0</v>
      </c>
    </row>
    <row r="31" spans="1:3" ht="15.5" x14ac:dyDescent="0.35">
      <c r="A31" s="114" t="s">
        <v>103</v>
      </c>
      <c r="B31" s="73"/>
      <c r="C31" s="74">
        <f>SUBTOTAL(9,C32:C37)</f>
        <v>7000</v>
      </c>
    </row>
    <row r="32" spans="1:3" ht="15.5" x14ac:dyDescent="0.35">
      <c r="A32" s="102" t="s">
        <v>104</v>
      </c>
      <c r="B32" s="112"/>
      <c r="C32" s="75">
        <f>'CAPEX - Others'!F42</f>
        <v>2000</v>
      </c>
    </row>
    <row r="33" spans="1:8" ht="15.5" x14ac:dyDescent="0.35">
      <c r="A33" s="102" t="s">
        <v>105</v>
      </c>
      <c r="B33" s="112"/>
      <c r="C33" s="75">
        <f>'CAPEX - Others'!F43</f>
        <v>5000</v>
      </c>
    </row>
    <row r="34" spans="1:8" ht="15.5" x14ac:dyDescent="0.35">
      <c r="A34" s="102" t="s">
        <v>106</v>
      </c>
      <c r="B34" s="112"/>
      <c r="C34" s="75">
        <f>'CAPEX - Others'!F44</f>
        <v>0</v>
      </c>
    </row>
    <row r="35" spans="1:8" ht="15.5" x14ac:dyDescent="0.35">
      <c r="A35" s="102" t="s">
        <v>107</v>
      </c>
      <c r="B35" s="112"/>
      <c r="C35" s="75">
        <f>'CAPEX - Others'!F45</f>
        <v>0</v>
      </c>
    </row>
    <row r="36" spans="1:8" ht="15.5" x14ac:dyDescent="0.35">
      <c r="A36" s="102" t="s">
        <v>108</v>
      </c>
      <c r="B36" s="112"/>
      <c r="C36" s="75">
        <f>'CAPEX - Others'!F46</f>
        <v>0</v>
      </c>
    </row>
    <row r="37" spans="1:8" ht="15.5" x14ac:dyDescent="0.35">
      <c r="A37" s="102" t="s">
        <v>109</v>
      </c>
      <c r="B37" s="112"/>
      <c r="C37" s="75">
        <f>'CAPEX - Others'!F47</f>
        <v>0</v>
      </c>
    </row>
    <row r="38" spans="1:8" ht="5.15" customHeight="1" x14ac:dyDescent="0.35">
      <c r="A38" s="8"/>
      <c r="B38" s="76"/>
      <c r="C38" s="76"/>
    </row>
    <row r="39" spans="1:8" ht="16.25" customHeight="1" x14ac:dyDescent="0.35">
      <c r="A39" s="460" t="s">
        <v>110</v>
      </c>
      <c r="B39" s="113" t="s">
        <v>111</v>
      </c>
      <c r="C39" s="77">
        <f>C5</f>
        <v>4500187.5</v>
      </c>
    </row>
    <row r="40" spans="1:8" ht="30" customHeight="1" x14ac:dyDescent="0.35">
      <c r="A40" s="461"/>
      <c r="B40" s="115" t="s">
        <v>112</v>
      </c>
      <c r="C40" s="77">
        <f>Assumptions!$C$5</f>
        <v>450018.75</v>
      </c>
    </row>
    <row r="41" spans="1:8" ht="14.75" customHeight="1" x14ac:dyDescent="0.35">
      <c r="A41" s="461"/>
      <c r="B41" s="113" t="s">
        <v>113</v>
      </c>
      <c r="C41" s="78">
        <f>SUM(C31+C24)</f>
        <v>79000</v>
      </c>
      <c r="D41" s="468"/>
      <c r="E41" s="469"/>
      <c r="F41" s="469"/>
      <c r="G41" s="469"/>
    </row>
    <row r="42" spans="1:8" ht="25.5" customHeight="1" thickBot="1" x14ac:dyDescent="0.4">
      <c r="A42" s="462"/>
      <c r="B42" s="113" t="s">
        <v>114</v>
      </c>
      <c r="C42" s="79">
        <f>SUM(C39:C41)</f>
        <v>5029206.25</v>
      </c>
      <c r="D42" s="468"/>
      <c r="E42" s="469"/>
      <c r="F42" s="469"/>
      <c r="G42" s="469"/>
    </row>
    <row r="43" spans="1:8" ht="15" thickTop="1" x14ac:dyDescent="0.35"/>
    <row r="44" spans="1:8" ht="30.65" customHeight="1" x14ac:dyDescent="0.45">
      <c r="A44" s="456" t="s">
        <v>115</v>
      </c>
      <c r="B44" s="456"/>
      <c r="C44" s="456"/>
      <c r="D44" s="456"/>
      <c r="E44" s="456"/>
      <c r="F44" s="456"/>
      <c r="G44" s="456"/>
      <c r="H44" s="456"/>
    </row>
    <row r="45" spans="1:8" ht="17.75" customHeight="1" x14ac:dyDescent="0.35">
      <c r="A45" s="13"/>
      <c r="B45" s="14" t="s">
        <v>116</v>
      </c>
      <c r="C45" s="14" t="s">
        <v>117</v>
      </c>
      <c r="D45" s="14" t="s">
        <v>118</v>
      </c>
      <c r="E45" s="14" t="s">
        <v>119</v>
      </c>
      <c r="F45" s="14" t="s">
        <v>120</v>
      </c>
      <c r="G45" s="14" t="s">
        <v>121</v>
      </c>
      <c r="H45" s="14" t="s">
        <v>122</v>
      </c>
    </row>
    <row r="46" spans="1:8" ht="15" customHeight="1" x14ac:dyDescent="0.35">
      <c r="A46" s="71" t="s">
        <v>123</v>
      </c>
      <c r="B46" s="74">
        <f>SUBTOTAL(9,B47:B52)</f>
        <v>4</v>
      </c>
      <c r="C46" s="74">
        <f t="shared" ref="C46:H46" si="0">SUBTOTAL(9,C47:C50)</f>
        <v>4</v>
      </c>
      <c r="D46" s="74">
        <f t="shared" si="0"/>
        <v>0</v>
      </c>
      <c r="E46" s="74">
        <f t="shared" si="0"/>
        <v>0</v>
      </c>
      <c r="F46" s="74">
        <f t="shared" si="0"/>
        <v>0</v>
      </c>
      <c r="G46" s="74">
        <f t="shared" si="0"/>
        <v>0</v>
      </c>
      <c r="H46" s="74">
        <f t="shared" si="0"/>
        <v>0</v>
      </c>
    </row>
    <row r="47" spans="1:8" ht="16.25" customHeight="1" x14ac:dyDescent="0.35">
      <c r="A47" s="102" t="s">
        <v>97</v>
      </c>
      <c r="B47" s="116">
        <f t="shared" ref="B47:B52" si="1">SUM(C47:H47)</f>
        <v>0</v>
      </c>
      <c r="C47" s="75">
        <f>IF(OPEX!F108&gt;0,OPEX!F108,0)</f>
        <v>0</v>
      </c>
      <c r="D47" s="75">
        <f>IF(OPEX!H108&gt;0,OPEX!H108,0)</f>
        <v>0</v>
      </c>
      <c r="E47" s="75">
        <f>IF(OPEX!J108&gt;0,OPEX!J108,0)</f>
        <v>0</v>
      </c>
      <c r="F47" s="75">
        <f>IF(OPEX!L108&gt;0,OPEX!L108,0)</f>
        <v>0</v>
      </c>
      <c r="G47" s="75">
        <f>IF(OPEX!N108&gt;0,OPEX!N108,0)</f>
        <v>0</v>
      </c>
      <c r="H47" s="75">
        <f>IF(OPEX!P108&gt;0,OPEX!P108,0)</f>
        <v>0</v>
      </c>
    </row>
    <row r="48" spans="1:8" ht="16.25" customHeight="1" x14ac:dyDescent="0.35">
      <c r="A48" s="102" t="s">
        <v>98</v>
      </c>
      <c r="B48" s="116">
        <f t="shared" si="1"/>
        <v>2</v>
      </c>
      <c r="C48" s="75">
        <f>IF(OPEX!F109&gt;0,OPEX!F109,0)</f>
        <v>2</v>
      </c>
      <c r="D48" s="75">
        <f>IF(OPEX!H109&gt;0,OPEX!H109,0)</f>
        <v>0</v>
      </c>
      <c r="E48" s="75">
        <f>IF(OPEX!J109&gt;0,OPEX!J109,0)</f>
        <v>0</v>
      </c>
      <c r="F48" s="75">
        <f>IF(OPEX!L109&gt;0,OPEX!L109,0)</f>
        <v>0</v>
      </c>
      <c r="G48" s="75">
        <f>IF(OPEX!N109&gt;0,OPEX!N109,0)</f>
        <v>0</v>
      </c>
      <c r="H48" s="75">
        <f>IF(OPEX!P109&gt;0,OPEX!P109,0)</f>
        <v>0</v>
      </c>
    </row>
    <row r="49" spans="1:8" ht="16.25" customHeight="1" x14ac:dyDescent="0.35">
      <c r="A49" s="102" t="s">
        <v>99</v>
      </c>
      <c r="B49" s="116">
        <f t="shared" si="1"/>
        <v>2</v>
      </c>
      <c r="C49" s="75">
        <f>IF(OPEX!F110&gt;0,OPEX!F110,0)</f>
        <v>2</v>
      </c>
      <c r="D49" s="75">
        <f>IF(OPEX!H110&gt;0,OPEX!H110,0)</f>
        <v>0</v>
      </c>
      <c r="E49" s="75">
        <f>IF(OPEX!J110&gt;0,OPEX!J110,0)</f>
        <v>0</v>
      </c>
      <c r="F49" s="75">
        <f>IF(OPEX!L110&gt;0,OPEX!L110,0)</f>
        <v>0</v>
      </c>
      <c r="G49" s="75">
        <f>IF(OPEX!N110&gt;0,OPEX!N110,0)</f>
        <v>0</v>
      </c>
      <c r="H49" s="75">
        <f>IF(OPEX!P110&gt;0,OPEX!P110,0)</f>
        <v>0</v>
      </c>
    </row>
    <row r="50" spans="1:8" ht="15.5" x14ac:dyDescent="0.35">
      <c r="A50" s="102" t="s">
        <v>100</v>
      </c>
      <c r="B50" s="116">
        <f t="shared" si="1"/>
        <v>0</v>
      </c>
      <c r="C50" s="75">
        <f>IF(OPEX!F111&gt;0,OPEX!F111,0)</f>
        <v>0</v>
      </c>
      <c r="D50" s="75">
        <f>IF(OPEX!H111&gt;0,OPEX!H111,0)</f>
        <v>0</v>
      </c>
      <c r="E50" s="75">
        <f>IF(OPEX!J111&gt;0,OPEX!J111,0)</f>
        <v>0</v>
      </c>
      <c r="F50" s="75">
        <f>IF(OPEX!L111&gt;0,OPEX!L111,0)</f>
        <v>0</v>
      </c>
      <c r="G50" s="75">
        <f>IF(OPEX!N111&gt;0,OPEX!N111,0)</f>
        <v>0</v>
      </c>
      <c r="H50" s="75">
        <f>IF(OPEX!P111&gt;0,OPEX!P111,0)</f>
        <v>0</v>
      </c>
    </row>
    <row r="51" spans="1:8" ht="15.5" x14ac:dyDescent="0.35">
      <c r="A51" s="102" t="s">
        <v>101</v>
      </c>
      <c r="B51" s="116">
        <f t="shared" si="1"/>
        <v>0</v>
      </c>
      <c r="C51" s="75">
        <f>IF(OPEX!F112&gt;0,OPEX!F112,0)</f>
        <v>0</v>
      </c>
      <c r="D51" s="75">
        <f>IF(OPEX!H112&gt;0,OPEX!H112,0)</f>
        <v>0</v>
      </c>
      <c r="E51" s="75">
        <f>IF(OPEX!J112&gt;0,OPEX!J112,0)</f>
        <v>0</v>
      </c>
      <c r="F51" s="75">
        <f>IF(OPEX!L112&gt;0,OPEX!L112,0)</f>
        <v>0</v>
      </c>
      <c r="G51" s="75">
        <f>IF(OPEX!N112&gt;0,OPEX!N112,0)</f>
        <v>0</v>
      </c>
      <c r="H51" s="75">
        <f>IF(OPEX!P112&gt;0,OPEX!P112,0)</f>
        <v>0</v>
      </c>
    </row>
    <row r="52" spans="1:8" ht="15.5" x14ac:dyDescent="0.35">
      <c r="A52" s="102" t="s">
        <v>102</v>
      </c>
      <c r="B52" s="116">
        <f t="shared" si="1"/>
        <v>0</v>
      </c>
      <c r="C52" s="75">
        <f>IF(OPEX!F113&gt;0,OPEX!F113,0)</f>
        <v>0</v>
      </c>
      <c r="D52" s="75">
        <f>IF(OPEX!H113&gt;0,OPEX!H113,0)</f>
        <v>0</v>
      </c>
      <c r="E52" s="75">
        <f>IF(OPEX!J113&gt;0,OPEX!J113,0)</f>
        <v>0</v>
      </c>
      <c r="F52" s="75">
        <f>IF(OPEX!L113&gt;0,OPEX!L113,0)</f>
        <v>0</v>
      </c>
      <c r="G52" s="75">
        <f>IF(OPEX!N113&gt;0,OPEX!N113,0)</f>
        <v>0</v>
      </c>
      <c r="H52" s="75">
        <f>IF(OPEX!P113&gt;0,OPEX!P113,0)</f>
        <v>0</v>
      </c>
    </row>
    <row r="53" spans="1:8" ht="15.5" x14ac:dyDescent="0.35">
      <c r="A53" s="71" t="s">
        <v>124</v>
      </c>
      <c r="B53" s="74">
        <f t="shared" ref="B53:H53" si="2">SUBTOTAL(9,B54:B59)</f>
        <v>3998</v>
      </c>
      <c r="C53" s="74">
        <f t="shared" si="2"/>
        <v>3998</v>
      </c>
      <c r="D53" s="74">
        <f t="shared" si="2"/>
        <v>0</v>
      </c>
      <c r="E53" s="74">
        <f t="shared" si="2"/>
        <v>0</v>
      </c>
      <c r="F53" s="74">
        <f t="shared" si="2"/>
        <v>0</v>
      </c>
      <c r="G53" s="74">
        <f t="shared" si="2"/>
        <v>0</v>
      </c>
      <c r="H53" s="74">
        <f t="shared" si="2"/>
        <v>0</v>
      </c>
    </row>
    <row r="54" spans="1:8" ht="16.25" customHeight="1" x14ac:dyDescent="0.35">
      <c r="A54" s="102" t="s">
        <v>104</v>
      </c>
      <c r="B54" s="116">
        <f t="shared" ref="B54:B59" si="3">SUM(C54:H54)</f>
        <v>1000</v>
      </c>
      <c r="C54" s="75">
        <f>IF(OPEX!F115&gt;0,OPEX!F115,0)</f>
        <v>1000</v>
      </c>
      <c r="D54" s="75">
        <f>IF(OPEX!H115&gt;0,OPEX!H115,0)</f>
        <v>0</v>
      </c>
      <c r="E54" s="75">
        <f>IF(OPEX!J115&gt;0,OPEX!J115,0)</f>
        <v>0</v>
      </c>
      <c r="F54" s="75">
        <f>IF(OPEX!L115&gt;0,OPEX!L115,0)</f>
        <v>0</v>
      </c>
      <c r="G54" s="75">
        <f>IF(OPEX!N115&gt;0,OPEX!N115,0)</f>
        <v>0</v>
      </c>
      <c r="H54" s="75">
        <f>IF(OPEX!P115&gt;0,OPEX!P115,0)</f>
        <v>0</v>
      </c>
    </row>
    <row r="55" spans="1:8" ht="16.25" customHeight="1" x14ac:dyDescent="0.35">
      <c r="A55" s="102" t="s">
        <v>105</v>
      </c>
      <c r="B55" s="116">
        <f t="shared" si="3"/>
        <v>2000</v>
      </c>
      <c r="C55" s="75">
        <f>IF(OPEX!F116&gt;0,OPEX!F116,0)</f>
        <v>2000</v>
      </c>
      <c r="D55" s="75">
        <f>IF(OPEX!H116&gt;0,OPEX!H116,0)</f>
        <v>0</v>
      </c>
      <c r="E55" s="75">
        <f>IF(OPEX!J116&gt;0,OPEX!J116,0)</f>
        <v>0</v>
      </c>
      <c r="F55" s="75">
        <f>IF(OPEX!L116&gt;0,OPEX!L116,0)</f>
        <v>0</v>
      </c>
      <c r="G55" s="75">
        <f>IF(OPEX!N116&gt;0,OPEX!N116,0)</f>
        <v>0</v>
      </c>
      <c r="H55" s="75">
        <f>IF(OPEX!P116&gt;0,OPEX!P116,0)</f>
        <v>0</v>
      </c>
    </row>
    <row r="56" spans="1:8" ht="16.25" customHeight="1" x14ac:dyDescent="0.35">
      <c r="A56" s="72" t="s">
        <v>125</v>
      </c>
      <c r="B56" s="116">
        <f t="shared" si="3"/>
        <v>998</v>
      </c>
      <c r="C56" s="75">
        <f>IF(OPEX!F117&gt;0,OPEX!F117,0)</f>
        <v>998</v>
      </c>
      <c r="D56" s="75">
        <f>IF(OPEX!H117&gt;0,OPEX!H117,0)</f>
        <v>0</v>
      </c>
      <c r="E56" s="75">
        <f>IF(OPEX!J117&gt;0,OPEX!J117,0)</f>
        <v>0</v>
      </c>
      <c r="F56" s="75">
        <f>IF(OPEX!L117&gt;0,OPEX!L117,0)</f>
        <v>0</v>
      </c>
      <c r="G56" s="75">
        <f>IF(OPEX!N117&gt;0,OPEX!N117,0)</f>
        <v>0</v>
      </c>
      <c r="H56" s="75">
        <f>IF(OPEX!P117&gt;0,OPEX!P117,0)</f>
        <v>0</v>
      </c>
    </row>
    <row r="57" spans="1:8" ht="16.25" customHeight="1" x14ac:dyDescent="0.35">
      <c r="A57" s="72" t="s">
        <v>107</v>
      </c>
      <c r="B57" s="116">
        <f t="shared" si="3"/>
        <v>0</v>
      </c>
      <c r="C57" s="75">
        <f>IF(OPEX!F118&gt;0,OPEX!F118,0)</f>
        <v>0</v>
      </c>
      <c r="D57" s="75">
        <f>IF(OPEX!H118&gt;0,OPEX!H118,0)</f>
        <v>0</v>
      </c>
      <c r="E57" s="75">
        <f>IF(OPEX!J118&gt;0,OPEX!J118,0)</f>
        <v>0</v>
      </c>
      <c r="F57" s="75">
        <f>IF(OPEX!L118&gt;0,OPEX!L118,0)</f>
        <v>0</v>
      </c>
      <c r="G57" s="75">
        <f>IF(OPEX!N118&gt;0,OPEX!N118,0)</f>
        <v>0</v>
      </c>
      <c r="H57" s="75">
        <f>IF(OPEX!P118&gt;0,OPEX!P118,0)</f>
        <v>0</v>
      </c>
    </row>
    <row r="58" spans="1:8" ht="16.25" customHeight="1" x14ac:dyDescent="0.35">
      <c r="A58" s="72" t="s">
        <v>108</v>
      </c>
      <c r="B58" s="116">
        <f t="shared" si="3"/>
        <v>0</v>
      </c>
      <c r="C58" s="75">
        <f>IF(OPEX!F119&gt;0,OPEX!F119,0)</f>
        <v>0</v>
      </c>
      <c r="D58" s="75">
        <f>IF(OPEX!H119&gt;0,OPEX!H119,0)</f>
        <v>0</v>
      </c>
      <c r="E58" s="75">
        <f>IF(OPEX!J119&gt;0,OPEX!J119,0)</f>
        <v>0</v>
      </c>
      <c r="F58" s="75">
        <f>IF(OPEX!L119&gt;0,OPEX!L119,0)</f>
        <v>0</v>
      </c>
      <c r="G58" s="75">
        <f>IF(OPEX!N119&gt;0,OPEX!N119,0)</f>
        <v>0</v>
      </c>
      <c r="H58" s="75">
        <f>IF(OPEX!P119&gt;0,OPEX!P119,0)</f>
        <v>0</v>
      </c>
    </row>
    <row r="59" spans="1:8" ht="16.25" customHeight="1" x14ac:dyDescent="0.35">
      <c r="A59" s="72" t="s">
        <v>109</v>
      </c>
      <c r="B59" s="116">
        <f t="shared" si="3"/>
        <v>0</v>
      </c>
      <c r="C59" s="75">
        <f>IF(OPEX!F120&gt;0,OPEX!F120,0)</f>
        <v>0</v>
      </c>
      <c r="D59" s="75">
        <f>IF(OPEX!H120&gt;0,OPEX!H120,0)</f>
        <v>0</v>
      </c>
      <c r="E59" s="75">
        <f>IF(OPEX!J120&gt;0,OPEX!J120,0)</f>
        <v>0</v>
      </c>
      <c r="F59" s="75">
        <f>IF(OPEX!L120&gt;0,OPEX!L120,0)</f>
        <v>0</v>
      </c>
      <c r="G59" s="75">
        <f>IF(OPEX!N120&gt;0,OPEX!N120,0)</f>
        <v>0</v>
      </c>
      <c r="H59" s="75">
        <f>IF(OPEX!P120&gt;0,OPEX!P120,0)</f>
        <v>0</v>
      </c>
    </row>
    <row r="60" spans="1:8" ht="15.5" x14ac:dyDescent="0.35">
      <c r="A60" s="71" t="s">
        <v>126</v>
      </c>
      <c r="B60" s="74">
        <f t="shared" ref="B60:H60" si="4">SUBTOTAL(9,B61:B64)</f>
        <v>74070</v>
      </c>
      <c r="C60" s="74">
        <f t="shared" si="4"/>
        <v>0</v>
      </c>
      <c r="D60" s="74">
        <f t="shared" si="4"/>
        <v>11070</v>
      </c>
      <c r="E60" s="74">
        <f t="shared" si="4"/>
        <v>9000</v>
      </c>
      <c r="F60" s="74">
        <f t="shared" si="4"/>
        <v>54000</v>
      </c>
      <c r="G60" s="74">
        <f t="shared" si="4"/>
        <v>0</v>
      </c>
      <c r="H60" s="74">
        <f t="shared" si="4"/>
        <v>0</v>
      </c>
    </row>
    <row r="61" spans="1:8" ht="16.25" customHeight="1" x14ac:dyDescent="0.35">
      <c r="A61" s="72" t="s">
        <v>127</v>
      </c>
      <c r="B61" s="116">
        <f>SUM(C61:H61)</f>
        <v>74070</v>
      </c>
      <c r="C61" s="75">
        <f>IF(OPEX!F122&gt;0,OPEX!F122,0)</f>
        <v>0</v>
      </c>
      <c r="D61" s="75">
        <f>IF(OPEX!H122&gt;0,OPEX!H122,0)</f>
        <v>11070</v>
      </c>
      <c r="E61" s="75">
        <f>IF(OPEX!J122&gt;0,OPEX!J122,0)</f>
        <v>9000</v>
      </c>
      <c r="F61" s="75">
        <f>IF(OPEX!L122&gt;0,OPEX!L122,0)</f>
        <v>54000</v>
      </c>
      <c r="G61" s="75">
        <f>IF(OPEX!N122&gt;0,OPEX!N122,0)</f>
        <v>0</v>
      </c>
      <c r="H61" s="75">
        <f>IF(OPEX!P122&gt;0,OPEX!P122,0)</f>
        <v>0</v>
      </c>
    </row>
    <row r="62" spans="1:8" ht="16.25" customHeight="1" x14ac:dyDescent="0.35">
      <c r="A62" s="72" t="s">
        <v>91</v>
      </c>
      <c r="B62" s="116">
        <f>SUM(C62:H62)</f>
        <v>0</v>
      </c>
      <c r="C62" s="75">
        <f>IF(OPEX!F123&gt;0,OPEX!F123,0)</f>
        <v>0</v>
      </c>
      <c r="D62" s="75">
        <f>IF(OPEX!H123&gt;0,OPEX!H123,0)</f>
        <v>0</v>
      </c>
      <c r="E62" s="75">
        <f>IF(OPEX!J123&gt;0,OPEX!J123,0)</f>
        <v>0</v>
      </c>
      <c r="F62" s="75">
        <f>IF(OPEX!L123&gt;0,OPEX!L123,0)</f>
        <v>0</v>
      </c>
      <c r="G62" s="75">
        <f>IF(OPEX!N123&gt;0,OPEX!N123,0)</f>
        <v>0</v>
      </c>
      <c r="H62" s="75">
        <f>IF(OPEX!P123&gt;0,OPEX!P123,0)</f>
        <v>0</v>
      </c>
    </row>
    <row r="63" spans="1:8" ht="16.25" customHeight="1" x14ac:dyDescent="0.35">
      <c r="A63" s="72" t="s">
        <v>92</v>
      </c>
      <c r="B63" s="116"/>
      <c r="C63" s="75">
        <f>IF(OPEX!F124&gt;0,OPEX!F124,0)</f>
        <v>0</v>
      </c>
      <c r="D63" s="75">
        <f>IF(OPEX!H124&gt;0,OPEX!H124,0)</f>
        <v>0</v>
      </c>
      <c r="E63" s="75">
        <f>IF(OPEX!J124&gt;0,OPEX!J124,0)</f>
        <v>0</v>
      </c>
      <c r="F63" s="75">
        <f>IF(OPEX!L124&gt;0,OPEX!L124,0)</f>
        <v>0</v>
      </c>
      <c r="G63" s="75">
        <f>IF(OPEX!N124&gt;0,OPEX!N124,0)</f>
        <v>0</v>
      </c>
      <c r="H63" s="75">
        <f>IF(OPEX!P124&gt;0,OPEX!P124,0)</f>
        <v>0</v>
      </c>
    </row>
    <row r="64" spans="1:8" ht="16.25" customHeight="1" x14ac:dyDescent="0.35">
      <c r="A64" s="72" t="s">
        <v>128</v>
      </c>
      <c r="B64" s="116">
        <f>SUM(D64:H64)</f>
        <v>0</v>
      </c>
      <c r="C64" s="75">
        <f>IF(OPEX!F125&gt;0,OPEX!F125,0)</f>
        <v>0</v>
      </c>
      <c r="D64" s="75">
        <f>IF(OPEX!H125&gt;0,OPEX!H125,0)</f>
        <v>0</v>
      </c>
      <c r="E64" s="75">
        <f>IF(OPEX!J125&gt;0,OPEX!J125,0)</f>
        <v>0</v>
      </c>
      <c r="F64" s="75">
        <f>IF(OPEX!L125&gt;0,OPEX!L125,0)</f>
        <v>0</v>
      </c>
      <c r="G64" s="75">
        <f>IF(OPEX!N125&gt;0,OPEX!N125,0)</f>
        <v>0</v>
      </c>
      <c r="H64" s="75">
        <f>IF(OPEX!P125&gt;0,OPEX!P125,0)</f>
        <v>0</v>
      </c>
    </row>
    <row r="65" spans="1:8" ht="6" customHeight="1" x14ac:dyDescent="0.35">
      <c r="A65" s="9"/>
      <c r="B65" s="80"/>
      <c r="C65" s="81"/>
      <c r="D65" s="81"/>
      <c r="E65" s="81"/>
      <c r="F65" s="81"/>
      <c r="G65" s="81"/>
      <c r="H65" s="81"/>
    </row>
    <row r="66" spans="1:8" ht="43.25" customHeight="1" thickBot="1" x14ac:dyDescent="0.4">
      <c r="A66" s="117" t="s">
        <v>129</v>
      </c>
      <c r="B66" s="82">
        <f>SUBTOTAL(9,B46:B64)</f>
        <v>78072</v>
      </c>
      <c r="C66" s="82">
        <f t="shared" ref="C66:H66" si="5">SUBTOTAL(9,C46:C65)</f>
        <v>4002</v>
      </c>
      <c r="D66" s="82">
        <f t="shared" si="5"/>
        <v>11070</v>
      </c>
      <c r="E66" s="82">
        <f t="shared" si="5"/>
        <v>9000</v>
      </c>
      <c r="F66" s="82">
        <f t="shared" si="5"/>
        <v>54000</v>
      </c>
      <c r="G66" s="82">
        <f t="shared" si="5"/>
        <v>0</v>
      </c>
      <c r="H66" s="82">
        <f t="shared" si="5"/>
        <v>0</v>
      </c>
    </row>
    <row r="67" spans="1:8" ht="15" thickTop="1" x14ac:dyDescent="0.35">
      <c r="A67" s="7"/>
      <c r="B67" s="7"/>
      <c r="C67" s="7"/>
      <c r="D67" s="7"/>
      <c r="E67" s="7"/>
      <c r="F67" s="7"/>
      <c r="G67" s="7"/>
    </row>
    <row r="68" spans="1:8" x14ac:dyDescent="0.35">
      <c r="A68" s="7"/>
      <c r="B68" s="7"/>
      <c r="C68" s="7"/>
      <c r="D68" s="7"/>
      <c r="E68" s="7"/>
      <c r="F68" s="7"/>
      <c r="G68" s="7"/>
      <c r="H68" s="7"/>
    </row>
    <row r="69" spans="1:8" ht="28.25" customHeight="1" x14ac:dyDescent="0.45">
      <c r="A69" s="456" t="s">
        <v>130</v>
      </c>
      <c r="B69" s="456"/>
      <c r="C69" s="456"/>
      <c r="D69" s="456"/>
      <c r="E69" s="456"/>
      <c r="F69" s="456"/>
      <c r="G69" s="456"/>
      <c r="H69" s="456"/>
    </row>
    <row r="70" spans="1:8" ht="18" customHeight="1" x14ac:dyDescent="0.35">
      <c r="A70" s="14"/>
      <c r="B70" s="14" t="s">
        <v>116</v>
      </c>
      <c r="C70" s="14" t="s">
        <v>117</v>
      </c>
      <c r="D70" s="14" t="s">
        <v>118</v>
      </c>
      <c r="E70" s="14" t="s">
        <v>119</v>
      </c>
      <c r="F70" s="14" t="s">
        <v>120</v>
      </c>
      <c r="G70" s="14" t="s">
        <v>121</v>
      </c>
      <c r="H70" s="14" t="s">
        <v>122</v>
      </c>
    </row>
    <row r="71" spans="1:8" ht="15.5" x14ac:dyDescent="0.35">
      <c r="A71" s="71" t="s">
        <v>131</v>
      </c>
      <c r="B71" s="73">
        <f>C42</f>
        <v>5029206.25</v>
      </c>
      <c r="C71" s="73">
        <f>C42</f>
        <v>5029206.25</v>
      </c>
      <c r="D71" s="83" t="s">
        <v>132</v>
      </c>
      <c r="E71" s="83" t="s">
        <v>132</v>
      </c>
      <c r="F71" s="83" t="s">
        <v>132</v>
      </c>
      <c r="G71" s="83" t="s">
        <v>132</v>
      </c>
      <c r="H71" s="83" t="s">
        <v>132</v>
      </c>
    </row>
    <row r="72" spans="1:8" ht="15.5" x14ac:dyDescent="0.35">
      <c r="A72" s="71" t="s">
        <v>133</v>
      </c>
      <c r="B72" s="73">
        <f t="shared" ref="B72:H72" si="6">B66</f>
        <v>78072</v>
      </c>
      <c r="C72" s="83">
        <f t="shared" si="6"/>
        <v>4002</v>
      </c>
      <c r="D72" s="73">
        <f t="shared" si="6"/>
        <v>11070</v>
      </c>
      <c r="E72" s="73">
        <f t="shared" si="6"/>
        <v>9000</v>
      </c>
      <c r="F72" s="73">
        <f t="shared" si="6"/>
        <v>54000</v>
      </c>
      <c r="G72" s="73">
        <f t="shared" si="6"/>
        <v>0</v>
      </c>
      <c r="H72" s="73">
        <f t="shared" si="6"/>
        <v>0</v>
      </c>
    </row>
    <row r="73" spans="1:8" ht="15.5" x14ac:dyDescent="0.35">
      <c r="A73" s="71" t="s">
        <v>134</v>
      </c>
      <c r="B73" s="73"/>
      <c r="C73" s="73"/>
      <c r="D73" s="73"/>
      <c r="E73" s="73"/>
      <c r="F73" s="73"/>
      <c r="G73" s="73"/>
      <c r="H73" s="73"/>
    </row>
    <row r="74" spans="1:8" ht="15.5" x14ac:dyDescent="0.35">
      <c r="A74" s="72" t="s">
        <v>135</v>
      </c>
      <c r="B74" s="84">
        <f>(B71+B72)</f>
        <v>5107278.25</v>
      </c>
      <c r="C74" s="75">
        <f>(C71+C72)</f>
        <v>5033208.25</v>
      </c>
      <c r="D74" s="75">
        <f>D72</f>
        <v>11070</v>
      </c>
      <c r="E74" s="75">
        <f>E72</f>
        <v>9000</v>
      </c>
      <c r="F74" s="75">
        <f>F72</f>
        <v>54000</v>
      </c>
      <c r="G74" s="75">
        <f>G72</f>
        <v>0</v>
      </c>
      <c r="H74" s="75">
        <f>H72</f>
        <v>0</v>
      </c>
    </row>
    <row r="75" spans="1:8" ht="15.5" x14ac:dyDescent="0.35">
      <c r="A75" s="72" t="s">
        <v>136</v>
      </c>
      <c r="B75" s="84">
        <f>SUM(C75:H75)</f>
        <v>209483.54499999993</v>
      </c>
      <c r="C75" s="75">
        <f>'Cost Benefit Analysis'!C6</f>
        <v>18</v>
      </c>
      <c r="D75" s="75">
        <f>'Cost Benefit Analysis'!D6</f>
        <v>3930</v>
      </c>
      <c r="E75" s="75">
        <f>'Cost Benefit Analysis'!E6</f>
        <v>205532.54499999993</v>
      </c>
      <c r="F75" s="75">
        <f>'Cost Benefit Analysis'!F6</f>
        <v>0</v>
      </c>
      <c r="G75" s="75">
        <f>'Cost Benefit Analysis'!G6</f>
        <v>0</v>
      </c>
      <c r="H75" s="75">
        <f>'Cost Benefit Analysis'!H6</f>
        <v>3</v>
      </c>
    </row>
    <row r="76" spans="1:8" ht="15.5" x14ac:dyDescent="0.35">
      <c r="A76" s="72" t="s">
        <v>137</v>
      </c>
      <c r="B76" s="84">
        <f>B74-B75</f>
        <v>4897794.7050000001</v>
      </c>
      <c r="C76" s="75">
        <f t="shared" ref="C76:H76" si="7">C75-C74</f>
        <v>-5033190.25</v>
      </c>
      <c r="D76" s="75">
        <f t="shared" si="7"/>
        <v>-7140</v>
      </c>
      <c r="E76" s="75">
        <f t="shared" si="7"/>
        <v>196532.54499999993</v>
      </c>
      <c r="F76" s="75">
        <f t="shared" si="7"/>
        <v>-54000</v>
      </c>
      <c r="G76" s="75">
        <f t="shared" si="7"/>
        <v>0</v>
      </c>
      <c r="H76" s="75">
        <f t="shared" si="7"/>
        <v>3</v>
      </c>
    </row>
    <row r="77" spans="1:8" ht="15.5" x14ac:dyDescent="0.35">
      <c r="A77" s="72" t="s">
        <v>138</v>
      </c>
      <c r="B77" s="84">
        <f>SUM(C77:G77)</f>
        <v>-24712913.615000002</v>
      </c>
      <c r="C77" s="75">
        <f>C76</f>
        <v>-5033190.25</v>
      </c>
      <c r="D77" s="75">
        <f>C77+D76</f>
        <v>-5040330.25</v>
      </c>
      <c r="E77" s="75">
        <f>D77+E76</f>
        <v>-4843797.7050000001</v>
      </c>
      <c r="F77" s="75">
        <f>E77+F76</f>
        <v>-4897797.7050000001</v>
      </c>
      <c r="G77" s="75">
        <f>F77+G76</f>
        <v>-4897797.7050000001</v>
      </c>
      <c r="H77" s="75">
        <f>G77+H76</f>
        <v>-4897794.7050000001</v>
      </c>
    </row>
    <row r="78" spans="1:8" x14ac:dyDescent="0.35">
      <c r="A78" s="85"/>
      <c r="B78" s="85"/>
      <c r="C78" s="85"/>
      <c r="D78" s="85"/>
      <c r="E78" s="85"/>
      <c r="F78" s="85"/>
      <c r="G78" s="85"/>
      <c r="H78" s="85"/>
    </row>
    <row r="79" spans="1:8" ht="18.5" x14ac:dyDescent="0.45">
      <c r="A79" s="85"/>
      <c r="B79" s="390" t="s">
        <v>139</v>
      </c>
      <c r="C79" s="390"/>
      <c r="D79" s="390"/>
      <c r="E79" s="463"/>
      <c r="F79" s="85"/>
      <c r="G79" s="85"/>
      <c r="H79" s="85"/>
    </row>
    <row r="80" spans="1:8" ht="15.5" x14ac:dyDescent="0.35">
      <c r="A80" s="85"/>
      <c r="B80" s="86" t="s">
        <v>140</v>
      </c>
      <c r="C80" s="470">
        <v>0.18</v>
      </c>
      <c r="D80" s="471"/>
      <c r="E80" s="472"/>
      <c r="F80" s="85"/>
      <c r="G80" s="85"/>
      <c r="H80" s="85"/>
    </row>
    <row r="81" spans="1:8" ht="15.5" x14ac:dyDescent="0.35">
      <c r="A81" s="85"/>
      <c r="B81" s="87" t="s">
        <v>141</v>
      </c>
      <c r="C81" s="473">
        <f>NPV($C$80, D76:H76)+C76</f>
        <v>-4930959.2394942464</v>
      </c>
      <c r="D81" s="457"/>
      <c r="E81" s="458"/>
      <c r="F81" s="25"/>
      <c r="G81" s="85"/>
      <c r="H81" s="85"/>
    </row>
    <row r="82" spans="1:8" ht="15.5" x14ac:dyDescent="0.35">
      <c r="A82" s="85"/>
      <c r="B82" s="87" t="s">
        <v>142</v>
      </c>
      <c r="C82" s="473" t="e">
        <f>IRR(C76:H76)</f>
        <v>#NUM!</v>
      </c>
      <c r="D82" s="457"/>
      <c r="E82" s="458"/>
      <c r="F82" s="85"/>
      <c r="G82" s="85"/>
      <c r="H82" s="85"/>
    </row>
    <row r="83" spans="1:8" ht="15.5" x14ac:dyDescent="0.35">
      <c r="A83" s="85"/>
      <c r="B83" s="87" t="s">
        <v>143</v>
      </c>
      <c r="C83" s="473">
        <f>IF(D77&gt;0,0+(-C77/D76),IF(E541&gt;0,1+(-D77/E76),IF(F77&gt;0,2+(-E77/F76),IF(G77&gt;0,3+(-F77/G76),IF(H77&gt;0,4+(-G77/H76),)))))</f>
        <v>0</v>
      </c>
      <c r="D83" s="457"/>
      <c r="E83" s="458"/>
      <c r="F83" s="85"/>
      <c r="G83" s="85"/>
      <c r="H83" s="85"/>
    </row>
    <row r="84" spans="1:8" x14ac:dyDescent="0.35">
      <c r="A84" s="85"/>
      <c r="B84" s="26"/>
      <c r="C84" s="26" t="s">
        <v>30</v>
      </c>
      <c r="D84" s="26" t="s">
        <v>59</v>
      </c>
      <c r="E84" s="27" t="s">
        <v>144</v>
      </c>
      <c r="F84" s="85"/>
      <c r="G84" s="85"/>
      <c r="H84" s="85"/>
    </row>
    <row r="85" spans="1:8" ht="15.5" x14ac:dyDescent="0.35">
      <c r="A85" s="85"/>
      <c r="B85" s="145" t="s">
        <v>145</v>
      </c>
      <c r="C85" s="138">
        <f>C31</f>
        <v>7000</v>
      </c>
      <c r="D85" s="138">
        <f>B53</f>
        <v>3998</v>
      </c>
      <c r="E85" s="139">
        <f>SUM(C85:D85)</f>
        <v>10998</v>
      </c>
      <c r="F85" s="85"/>
      <c r="G85" s="85"/>
      <c r="H85" s="85"/>
    </row>
    <row r="86" spans="1:8" ht="15.5" x14ac:dyDescent="0.35">
      <c r="A86" s="85"/>
      <c r="B86" s="146" t="s">
        <v>50</v>
      </c>
      <c r="C86" s="140">
        <f>C24</f>
        <v>72000</v>
      </c>
      <c r="D86" s="140">
        <f>B46</f>
        <v>4</v>
      </c>
      <c r="E86" s="141">
        <f>SUM(C86:D86)</f>
        <v>72004</v>
      </c>
      <c r="F86" s="85"/>
      <c r="G86" s="85"/>
      <c r="H86" s="85"/>
    </row>
    <row r="87" spans="1:8" ht="15.5" x14ac:dyDescent="0.35">
      <c r="A87" s="85"/>
      <c r="B87" s="147" t="s">
        <v>146</v>
      </c>
      <c r="C87" s="142">
        <f>C5</f>
        <v>4500187.5</v>
      </c>
      <c r="D87" s="142">
        <f>B60</f>
        <v>74070</v>
      </c>
      <c r="E87" s="143">
        <f>SUM(C87:D87)</f>
        <v>4574257.5</v>
      </c>
      <c r="F87" s="85"/>
      <c r="G87" s="85"/>
      <c r="H87" s="85"/>
    </row>
    <row r="88" spans="1:8" ht="15.5" x14ac:dyDescent="0.35">
      <c r="A88" s="85"/>
      <c r="B88" s="88" t="s">
        <v>147</v>
      </c>
      <c r="C88" s="140">
        <f>SUM(C85:C87)</f>
        <v>4579187.5</v>
      </c>
      <c r="D88" s="140">
        <f>SUM(D85:D87)</f>
        <v>78072</v>
      </c>
      <c r="E88" s="140">
        <f>SUM(E85:E87)</f>
        <v>4657259.5</v>
      </c>
      <c r="F88" s="85"/>
      <c r="G88" s="85"/>
      <c r="H88" s="85"/>
    </row>
    <row r="89" spans="1:8" ht="15.5" x14ac:dyDescent="0.35">
      <c r="A89" s="85"/>
      <c r="B89" s="87" t="s">
        <v>148</v>
      </c>
      <c r="C89" s="140"/>
      <c r="D89" s="140">
        <f>B75</f>
        <v>209483.54499999993</v>
      </c>
      <c r="E89" s="141">
        <f>SUM(C89:D89)</f>
        <v>209483.54499999993</v>
      </c>
      <c r="F89" s="85"/>
      <c r="G89" s="85"/>
      <c r="H89" s="85"/>
    </row>
    <row r="90" spans="1:8" ht="15.5" x14ac:dyDescent="0.35">
      <c r="A90" s="85"/>
      <c r="B90" s="87" t="s">
        <v>137</v>
      </c>
      <c r="C90" s="140">
        <f>C89-C88</f>
        <v>-4579187.5</v>
      </c>
      <c r="D90" s="140">
        <f>D89-D88</f>
        <v>131411.54499999993</v>
      </c>
      <c r="E90" s="141">
        <f>SUM(C90:D90)</f>
        <v>-4447775.9550000001</v>
      </c>
      <c r="F90" s="85"/>
      <c r="G90" s="85"/>
      <c r="H90" s="85"/>
    </row>
    <row r="91" spans="1:8" ht="18.5" x14ac:dyDescent="0.45">
      <c r="A91" s="85"/>
      <c r="B91" s="466" t="s">
        <v>149</v>
      </c>
      <c r="C91" s="390"/>
      <c r="D91" s="390"/>
      <c r="E91" s="467"/>
      <c r="F91" s="85"/>
      <c r="G91" s="85"/>
      <c r="H91" s="85"/>
    </row>
    <row r="92" spans="1:8" ht="15.5" x14ac:dyDescent="0.35">
      <c r="A92" s="85"/>
      <c r="B92" s="89" t="s">
        <v>150</v>
      </c>
      <c r="C92" s="457">
        <f>C81</f>
        <v>-4930959.2394942464</v>
      </c>
      <c r="D92" s="457"/>
      <c r="E92" s="458"/>
      <c r="F92" s="85"/>
      <c r="G92" s="85"/>
      <c r="H92" s="85"/>
    </row>
    <row r="93" spans="1:8" ht="15.5" x14ac:dyDescent="0.35">
      <c r="A93" s="85"/>
      <c r="B93" s="89" t="s">
        <v>142</v>
      </c>
      <c r="C93" s="457" t="e">
        <f>C82</f>
        <v>#NUM!</v>
      </c>
      <c r="D93" s="457"/>
      <c r="E93" s="458"/>
      <c r="F93" s="85"/>
      <c r="G93" s="85"/>
      <c r="H93" s="85"/>
    </row>
    <row r="94" spans="1:8" ht="15.5" x14ac:dyDescent="0.35">
      <c r="A94" s="85"/>
      <c r="B94" s="90" t="s">
        <v>151</v>
      </c>
      <c r="C94" s="457">
        <f>C83</f>
        <v>0</v>
      </c>
      <c r="D94" s="457"/>
      <c r="E94" s="458"/>
      <c r="F94" s="85"/>
      <c r="G94" s="85"/>
      <c r="H94" s="85"/>
    </row>
    <row r="95" spans="1:8" x14ac:dyDescent="0.35">
      <c r="A95" s="85"/>
      <c r="B95" s="85"/>
      <c r="C95" s="85"/>
      <c r="D95" s="85"/>
      <c r="E95" s="85"/>
      <c r="F95" s="85"/>
      <c r="G95" s="85"/>
      <c r="H95" s="85"/>
    </row>
  </sheetData>
  <mergeCells count="16">
    <mergeCell ref="C92:E92"/>
    <mergeCell ref="C93:E93"/>
    <mergeCell ref="C94:E94"/>
    <mergeCell ref="A1:C1"/>
    <mergeCell ref="A39:A42"/>
    <mergeCell ref="B79:E79"/>
    <mergeCell ref="A4:B4"/>
    <mergeCell ref="A44:H44"/>
    <mergeCell ref="A69:H69"/>
    <mergeCell ref="B91:E91"/>
    <mergeCell ref="D41:G41"/>
    <mergeCell ref="D42:G42"/>
    <mergeCell ref="C80:E80"/>
    <mergeCell ref="C81:E81"/>
    <mergeCell ref="C82:E82"/>
    <mergeCell ref="C83:E83"/>
  </mergeCells>
  <pageMargins left="0.7" right="0.7" top="0.75" bottom="0.75" header="0.3" footer="0.3"/>
  <pageSetup paperSize="9" orientation="portrait" r:id="rId1"/>
  <headerFooter>
    <oddFooter>&amp;C_x000D_&amp;1#&amp;"Calibri"&amp;10&amp;K000000 Restricted : General Al-Futtaim Group</oddFooter>
  </headerFooter>
  <ignoredErrors>
    <ignoredError sqref="E88" 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03EC-DA3C-4E49-AEC1-ED05089E6620}">
  <sheetPr>
    <outlinePr summaryBelow="0"/>
  </sheetPr>
  <dimension ref="A2:S366"/>
  <sheetViews>
    <sheetView showGridLines="0" zoomScaleNormal="100" workbookViewId="0">
      <selection activeCell="A4" sqref="A4"/>
    </sheetView>
  </sheetViews>
  <sheetFormatPr defaultColWidth="8.6328125" defaultRowHeight="14.5" outlineLevelRow="3" x14ac:dyDescent="0.35"/>
  <cols>
    <col min="1" max="1" width="34.453125" bestFit="1" customWidth="1"/>
    <col min="2" max="2" width="24.6328125" bestFit="1" customWidth="1"/>
    <col min="3" max="5" width="24.6328125" customWidth="1"/>
    <col min="6" max="8" width="22.90625" customWidth="1"/>
    <col min="9" max="10" width="22.90625" style="3" customWidth="1"/>
    <col min="11" max="19" width="22.90625" customWidth="1"/>
  </cols>
  <sheetData>
    <row r="2" spans="1:11" s="287" customFormat="1" ht="20" customHeight="1" x14ac:dyDescent="0.35">
      <c r="A2" s="388" t="s">
        <v>30</v>
      </c>
      <c r="B2" s="388"/>
      <c r="C2" s="388"/>
      <c r="D2" s="388"/>
      <c r="E2" s="384">
        <f>E4+E46+E70+E95+E112+E138</f>
        <v>4621603.25</v>
      </c>
      <c r="F2" s="296"/>
      <c r="G2" s="296"/>
      <c r="H2" s="296"/>
      <c r="I2" s="296"/>
      <c r="J2" s="296"/>
      <c r="K2" s="296"/>
    </row>
    <row r="3" spans="1:11" outlineLevel="1" x14ac:dyDescent="0.35"/>
    <row r="4" spans="1:11" ht="18.649999999999999" customHeight="1" outlineLevel="1" collapsed="1" x14ac:dyDescent="0.45">
      <c r="A4" s="183" t="s">
        <v>152</v>
      </c>
      <c r="B4" s="183"/>
      <c r="C4" s="183"/>
      <c r="D4" s="183"/>
      <c r="E4" s="184">
        <f>K41</f>
        <v>4039962.5</v>
      </c>
      <c r="I4"/>
      <c r="J4"/>
    </row>
    <row r="5" spans="1:11" hidden="1" outlineLevel="2" x14ac:dyDescent="0.35">
      <c r="A5" s="442" t="s">
        <v>153</v>
      </c>
      <c r="B5" s="443"/>
      <c r="C5" s="443"/>
      <c r="D5" s="443"/>
      <c r="E5" s="443"/>
      <c r="F5" s="444"/>
      <c r="G5" s="167">
        <v>6</v>
      </c>
      <c r="H5" s="44"/>
    </row>
    <row r="6" spans="1:11" ht="4.25" hidden="1" customHeight="1" outlineLevel="2" x14ac:dyDescent="0.35">
      <c r="A6" s="4"/>
      <c r="B6" s="4"/>
      <c r="C6" s="10"/>
      <c r="D6" s="19"/>
      <c r="E6" s="19"/>
      <c r="F6" s="19"/>
      <c r="G6" s="11"/>
      <c r="H6" s="11"/>
      <c r="I6" s="6"/>
      <c r="J6" s="6"/>
    </row>
    <row r="7" spans="1:11" ht="39" hidden="1" customHeight="1" outlineLevel="2" x14ac:dyDescent="0.35">
      <c r="A7" s="425" t="s">
        <v>154</v>
      </c>
      <c r="B7" s="425" t="s">
        <v>155</v>
      </c>
      <c r="C7" s="425" t="s">
        <v>156</v>
      </c>
      <c r="D7" s="425" t="s">
        <v>157</v>
      </c>
      <c r="E7" s="425" t="s">
        <v>158</v>
      </c>
      <c r="F7" s="20" t="s">
        <v>159</v>
      </c>
      <c r="G7" s="20" t="s">
        <v>160</v>
      </c>
      <c r="H7" s="20" t="s">
        <v>161</v>
      </c>
      <c r="I7" s="20" t="s">
        <v>162</v>
      </c>
      <c r="J7" s="438" t="s">
        <v>163</v>
      </c>
      <c r="K7" s="438" t="s">
        <v>164</v>
      </c>
    </row>
    <row r="8" spans="1:11" ht="101.5" hidden="1" outlineLevel="2" x14ac:dyDescent="0.35">
      <c r="A8" s="426"/>
      <c r="B8" s="426"/>
      <c r="C8" s="426"/>
      <c r="D8" s="426"/>
      <c r="E8" s="426"/>
      <c r="F8" s="20"/>
      <c r="G8" s="42" t="s">
        <v>165</v>
      </c>
      <c r="H8" s="42" t="s">
        <v>166</v>
      </c>
      <c r="I8" s="42" t="s">
        <v>167</v>
      </c>
      <c r="J8" s="439"/>
      <c r="K8" s="439"/>
    </row>
    <row r="9" spans="1:11" ht="12.65" hidden="1" customHeight="1" outlineLevel="2" x14ac:dyDescent="0.35">
      <c r="A9" s="426"/>
      <c r="B9" s="426"/>
      <c r="C9" s="426"/>
      <c r="D9" s="426"/>
      <c r="E9" s="426"/>
      <c r="F9" s="164">
        <v>0</v>
      </c>
      <c r="G9" s="164">
        <v>90</v>
      </c>
      <c r="H9" s="164">
        <f>30*30</f>
        <v>900</v>
      </c>
      <c r="I9" s="164">
        <v>60</v>
      </c>
      <c r="J9" s="439"/>
      <c r="K9" s="439"/>
    </row>
    <row r="10" spans="1:11" ht="12.65" hidden="1" customHeight="1" outlineLevel="2" x14ac:dyDescent="0.35">
      <c r="A10" s="445"/>
      <c r="B10" s="445"/>
      <c r="C10" s="445"/>
      <c r="D10" s="445"/>
      <c r="E10" s="445"/>
      <c r="F10" s="37" t="s">
        <v>168</v>
      </c>
      <c r="G10" s="37" t="s">
        <v>168</v>
      </c>
      <c r="H10" s="37" t="s">
        <v>168</v>
      </c>
      <c r="I10" s="37" t="s">
        <v>168</v>
      </c>
      <c r="J10" s="440"/>
      <c r="K10" s="440"/>
    </row>
    <row r="11" spans="1:11" ht="22.25" hidden="1" customHeight="1" outlineLevel="2" x14ac:dyDescent="0.35">
      <c r="A11" s="165" t="s">
        <v>169</v>
      </c>
      <c r="B11" s="168" t="s">
        <v>170</v>
      </c>
      <c r="C11" s="168" t="s">
        <v>171</v>
      </c>
      <c r="D11" s="169" t="s">
        <v>172</v>
      </c>
      <c r="E11" s="217">
        <f>VLOOKUP(C11,Lists!$Q$5:$U$43, MATCH(D11,Lists!$Q$4:$U$4,0),0)</f>
        <v>2900</v>
      </c>
      <c r="F11" s="155">
        <v>0</v>
      </c>
      <c r="G11" s="155">
        <f>20*3</f>
        <v>60</v>
      </c>
      <c r="H11" s="155">
        <f>30*20</f>
        <v>600</v>
      </c>
      <c r="I11" s="156">
        <f>20*2</f>
        <v>40</v>
      </c>
      <c r="J11" s="218">
        <f>SUM(F11:I11)</f>
        <v>700</v>
      </c>
      <c r="K11" s="219">
        <f t="shared" ref="K11:K38" si="0">J11*E11</f>
        <v>2030000</v>
      </c>
    </row>
    <row r="12" spans="1:11" ht="22.25" hidden="1" customHeight="1" outlineLevel="2" x14ac:dyDescent="0.35">
      <c r="A12" s="165" t="s">
        <v>173</v>
      </c>
      <c r="B12" s="168" t="s">
        <v>174</v>
      </c>
      <c r="C12" s="168" t="s">
        <v>175</v>
      </c>
      <c r="D12" s="169" t="s">
        <v>172</v>
      </c>
      <c r="E12" s="217">
        <f>VLOOKUP(C12,Lists!$Q$5:$U$43, MATCH(D12,Lists!$Q$4:$U$4,0),0)</f>
        <v>2433</v>
      </c>
      <c r="F12" s="155">
        <v>0</v>
      </c>
      <c r="G12" s="155">
        <f>20*3</f>
        <v>60</v>
      </c>
      <c r="H12" s="155">
        <f>30*20</f>
        <v>600</v>
      </c>
      <c r="I12" s="156">
        <f>20*2</f>
        <v>40</v>
      </c>
      <c r="J12" s="217">
        <f>SUM(F12:I12)</f>
        <v>700</v>
      </c>
      <c r="K12" s="219">
        <f t="shared" si="0"/>
        <v>1703100</v>
      </c>
    </row>
    <row r="13" spans="1:11" ht="22.25" hidden="1" customHeight="1" outlineLevel="2" x14ac:dyDescent="0.35">
      <c r="A13" s="165" t="s">
        <v>176</v>
      </c>
      <c r="B13" s="168" t="s">
        <v>174</v>
      </c>
      <c r="C13" s="168" t="s">
        <v>177</v>
      </c>
      <c r="D13" s="169" t="s">
        <v>172</v>
      </c>
      <c r="E13" s="217">
        <f>VLOOKUP(C13,Lists!$Q$5:$U$43, MATCH(D13,Lists!$Q$4:$U$4,0),0)</f>
        <v>2422</v>
      </c>
      <c r="F13" s="155">
        <v>0</v>
      </c>
      <c r="G13" s="155">
        <f>20*1*0.25</f>
        <v>5</v>
      </c>
      <c r="H13" s="155">
        <f>20*5*0.25</f>
        <v>25</v>
      </c>
      <c r="I13" s="156">
        <f>10*0.5</f>
        <v>5</v>
      </c>
      <c r="J13" s="217">
        <f t="shared" ref="J13:J33" si="1">SUM(F13:I13)</f>
        <v>35</v>
      </c>
      <c r="K13" s="219">
        <f t="shared" si="0"/>
        <v>84770</v>
      </c>
    </row>
    <row r="14" spans="1:11" ht="22.25" hidden="1" customHeight="1" outlineLevel="2" x14ac:dyDescent="0.35">
      <c r="A14" s="165" t="s">
        <v>178</v>
      </c>
      <c r="B14" s="168" t="s">
        <v>174</v>
      </c>
      <c r="C14" s="168" t="s">
        <v>177</v>
      </c>
      <c r="D14" s="169" t="s">
        <v>172</v>
      </c>
      <c r="E14" s="217">
        <f>VLOOKUP(C14,Lists!$Q$5:$U$43, MATCH(D14,Lists!$Q$4:$U$4,0),0)</f>
        <v>2422</v>
      </c>
      <c r="F14" s="155">
        <v>0</v>
      </c>
      <c r="G14" s="155">
        <f>20*1*0.25</f>
        <v>5</v>
      </c>
      <c r="H14" s="155">
        <f>20*5*0.25</f>
        <v>25</v>
      </c>
      <c r="I14" s="156">
        <f>10*0.5</f>
        <v>5</v>
      </c>
      <c r="J14" s="217">
        <f t="shared" si="1"/>
        <v>35</v>
      </c>
      <c r="K14" s="219">
        <f t="shared" si="0"/>
        <v>84770</v>
      </c>
    </row>
    <row r="15" spans="1:11" ht="22.25" hidden="1" customHeight="1" outlineLevel="2" x14ac:dyDescent="0.35">
      <c r="A15" s="165" t="s">
        <v>179</v>
      </c>
      <c r="B15" s="168" t="s">
        <v>174</v>
      </c>
      <c r="C15" s="168" t="s">
        <v>177</v>
      </c>
      <c r="D15" s="169" t="s">
        <v>180</v>
      </c>
      <c r="E15" s="217">
        <f>VLOOKUP(C15,Lists!$Q$5:$U$43, MATCH(D15,Lists!$Q$4:$U$4,0),0)</f>
        <v>615</v>
      </c>
      <c r="F15" s="155">
        <v>0</v>
      </c>
      <c r="G15" s="155">
        <f>20*1*0.5</f>
        <v>10</v>
      </c>
      <c r="H15" s="155">
        <f>20*18*0.5</f>
        <v>180</v>
      </c>
      <c r="I15" s="156">
        <f>10*0.5</f>
        <v>5</v>
      </c>
      <c r="J15" s="217">
        <f t="shared" si="1"/>
        <v>195</v>
      </c>
      <c r="K15" s="219">
        <f t="shared" si="0"/>
        <v>119925</v>
      </c>
    </row>
    <row r="16" spans="1:11" ht="22.25" hidden="1" customHeight="1" outlineLevel="2" x14ac:dyDescent="0.35">
      <c r="A16" s="165" t="s">
        <v>181</v>
      </c>
      <c r="B16" s="168" t="s">
        <v>182</v>
      </c>
      <c r="C16" s="168" t="s">
        <v>183</v>
      </c>
      <c r="D16" s="169" t="s">
        <v>172</v>
      </c>
      <c r="E16" s="217">
        <f>VLOOKUP(C16,Lists!$Q$5:$U$43, MATCH(D16,Lists!$Q$4:$U$4,0),0)</f>
        <v>2857</v>
      </c>
      <c r="F16" s="155"/>
      <c r="G16" s="155"/>
      <c r="H16" s="155"/>
      <c r="I16" s="156"/>
      <c r="J16" s="217">
        <f t="shared" si="1"/>
        <v>0</v>
      </c>
      <c r="K16" s="219">
        <f t="shared" si="0"/>
        <v>0</v>
      </c>
    </row>
    <row r="17" spans="1:11" ht="22.25" hidden="1" customHeight="1" outlineLevel="2" x14ac:dyDescent="0.35">
      <c r="A17" s="165" t="s">
        <v>184</v>
      </c>
      <c r="B17" s="168" t="s">
        <v>182</v>
      </c>
      <c r="C17" s="168" t="s">
        <v>185</v>
      </c>
      <c r="D17" s="169" t="s">
        <v>172</v>
      </c>
      <c r="E17" s="217">
        <f>VLOOKUP(C17,Lists!$Q$5:$U$43, MATCH(D17,Lists!$Q$4:$U$4,0),0)</f>
        <v>2757</v>
      </c>
      <c r="F17" s="155">
        <v>0</v>
      </c>
      <c r="G17" s="155">
        <v>0.5</v>
      </c>
      <c r="H17" s="155"/>
      <c r="I17" s="156"/>
      <c r="J17" s="217">
        <f t="shared" si="1"/>
        <v>0.5</v>
      </c>
      <c r="K17" s="219">
        <f t="shared" si="0"/>
        <v>1378.5</v>
      </c>
    </row>
    <row r="18" spans="1:11" ht="22.25" hidden="1" customHeight="1" outlineLevel="2" x14ac:dyDescent="0.35">
      <c r="A18" s="165" t="s">
        <v>186</v>
      </c>
      <c r="B18" s="168" t="s">
        <v>187</v>
      </c>
      <c r="C18" s="168" t="s">
        <v>188</v>
      </c>
      <c r="D18" s="169" t="s">
        <v>189</v>
      </c>
      <c r="E18" s="217">
        <f>VLOOKUP(C18,Lists!$Q$5:$U$43, MATCH(D18,Lists!$Q$4:$U$4,0),0)</f>
        <v>1850</v>
      </c>
      <c r="F18" s="155"/>
      <c r="G18" s="155"/>
      <c r="H18" s="155"/>
      <c r="I18" s="156"/>
      <c r="J18" s="217">
        <f t="shared" si="1"/>
        <v>0</v>
      </c>
      <c r="K18" s="219">
        <f t="shared" si="0"/>
        <v>0</v>
      </c>
    </row>
    <row r="19" spans="1:11" ht="22.25" hidden="1" customHeight="1" outlineLevel="2" x14ac:dyDescent="0.35">
      <c r="A19" s="165" t="s">
        <v>190</v>
      </c>
      <c r="B19" s="168" t="s">
        <v>187</v>
      </c>
      <c r="C19" s="168" t="s">
        <v>188</v>
      </c>
      <c r="D19" s="169" t="s">
        <v>172</v>
      </c>
      <c r="E19" s="217">
        <f>VLOOKUP(C19,Lists!$Q$5:$U$43, MATCH(D19,Lists!$Q$4:$U$4,0),0)</f>
        <v>2224</v>
      </c>
      <c r="F19" s="155">
        <v>0</v>
      </c>
      <c r="G19" s="155">
        <v>1</v>
      </c>
      <c r="H19" s="155"/>
      <c r="I19" s="156"/>
      <c r="J19" s="217">
        <f t="shared" si="1"/>
        <v>1</v>
      </c>
      <c r="K19" s="219">
        <f t="shared" si="0"/>
        <v>2224</v>
      </c>
    </row>
    <row r="20" spans="1:11" ht="22.25" hidden="1" customHeight="1" outlineLevel="2" x14ac:dyDescent="0.35">
      <c r="A20" s="165" t="s">
        <v>191</v>
      </c>
      <c r="B20" s="168" t="s">
        <v>187</v>
      </c>
      <c r="C20" s="168" t="s">
        <v>192</v>
      </c>
      <c r="D20" s="169" t="s">
        <v>172</v>
      </c>
      <c r="E20" s="217">
        <f>VLOOKUP(C20,Lists!$Q$5:$U$43, MATCH(D20,Lists!$Q$4:$U$4,0),0)</f>
        <v>2175</v>
      </c>
      <c r="F20" s="155"/>
      <c r="G20" s="155"/>
      <c r="H20" s="155"/>
      <c r="I20" s="156"/>
      <c r="J20" s="217">
        <f t="shared" si="1"/>
        <v>0</v>
      </c>
      <c r="K20" s="219">
        <f t="shared" si="0"/>
        <v>0</v>
      </c>
    </row>
    <row r="21" spans="1:11" ht="22.25" hidden="1" customHeight="1" outlineLevel="2" x14ac:dyDescent="0.35">
      <c r="A21" s="165" t="s">
        <v>193</v>
      </c>
      <c r="B21" s="168" t="s">
        <v>170</v>
      </c>
      <c r="C21" s="168" t="s">
        <v>194</v>
      </c>
      <c r="D21" s="169" t="s">
        <v>172</v>
      </c>
      <c r="E21" s="217">
        <f>VLOOKUP(C21,Lists!$Q$5:$U$43, MATCH(D21,Lists!$Q$4:$U$4,0),0)</f>
        <v>2575</v>
      </c>
      <c r="F21" s="155"/>
      <c r="G21" s="155"/>
      <c r="H21" s="155"/>
      <c r="I21" s="156"/>
      <c r="J21" s="217">
        <f t="shared" si="1"/>
        <v>0</v>
      </c>
      <c r="K21" s="219">
        <f t="shared" si="0"/>
        <v>0</v>
      </c>
    </row>
    <row r="22" spans="1:11" ht="22.25" hidden="1" customHeight="1" outlineLevel="2" x14ac:dyDescent="0.35">
      <c r="A22" s="165" t="s">
        <v>195</v>
      </c>
      <c r="B22" s="168" t="s">
        <v>170</v>
      </c>
      <c r="C22" s="168" t="s">
        <v>194</v>
      </c>
      <c r="D22" s="169" t="s">
        <v>172</v>
      </c>
      <c r="E22" s="217">
        <f>VLOOKUP(C22,Lists!$Q$5:$U$43, MATCH(D22,Lists!$Q$4:$U$4,0),0)</f>
        <v>2575</v>
      </c>
      <c r="F22" s="155"/>
      <c r="G22" s="155">
        <v>1</v>
      </c>
      <c r="H22" s="155"/>
      <c r="I22" s="156"/>
      <c r="J22" s="217">
        <f t="shared" si="1"/>
        <v>1</v>
      </c>
      <c r="K22" s="219">
        <f t="shared" si="0"/>
        <v>2575</v>
      </c>
    </row>
    <row r="23" spans="1:11" ht="22.25" hidden="1" customHeight="1" outlineLevel="2" x14ac:dyDescent="0.35">
      <c r="A23" s="165" t="s">
        <v>199</v>
      </c>
      <c r="B23" s="168" t="s">
        <v>443</v>
      </c>
      <c r="C23" s="168" t="s">
        <v>199</v>
      </c>
      <c r="D23" s="169" t="s">
        <v>172</v>
      </c>
      <c r="E23" s="217">
        <f>VLOOKUP(C23,Lists!$Q$5:$U$43, MATCH(D23,Lists!$Q$4:$U$4,0),0)</f>
        <v>2400</v>
      </c>
      <c r="F23" s="155"/>
      <c r="G23" s="155"/>
      <c r="H23" s="155"/>
      <c r="I23" s="156"/>
      <c r="J23" s="217">
        <f t="shared" si="1"/>
        <v>0</v>
      </c>
      <c r="K23" s="219">
        <f t="shared" si="0"/>
        <v>0</v>
      </c>
    </row>
    <row r="24" spans="1:11" ht="22.25" hidden="1" customHeight="1" outlineLevel="2" x14ac:dyDescent="0.35">
      <c r="A24" s="165"/>
      <c r="B24" s="168" t="s">
        <v>174</v>
      </c>
      <c r="C24" s="168" t="s">
        <v>177</v>
      </c>
      <c r="D24" s="169" t="s">
        <v>180</v>
      </c>
      <c r="E24" s="217">
        <f>VLOOKUP(C24,Lists!$Q$5:$U$43, MATCH(D24,Lists!$Q$4:$U$4,0),0)</f>
        <v>615</v>
      </c>
      <c r="F24" s="155"/>
      <c r="G24" s="155"/>
      <c r="H24" s="155"/>
      <c r="I24" s="156"/>
      <c r="J24" s="217">
        <f t="shared" si="1"/>
        <v>0</v>
      </c>
      <c r="K24" s="219">
        <f t="shared" si="0"/>
        <v>0</v>
      </c>
    </row>
    <row r="25" spans="1:11" ht="22.25" hidden="1" customHeight="1" outlineLevel="2" x14ac:dyDescent="0.35">
      <c r="A25" s="165"/>
      <c r="B25" s="168" t="s">
        <v>170</v>
      </c>
      <c r="C25" s="168" t="s">
        <v>171</v>
      </c>
      <c r="D25" s="169" t="s">
        <v>172</v>
      </c>
      <c r="E25" s="217">
        <f>VLOOKUP(C25,Lists!$Q$5:$U$43, MATCH(D25,Lists!$Q$4:$U$4,0),0)</f>
        <v>2900</v>
      </c>
      <c r="F25" s="155"/>
      <c r="G25" s="155"/>
      <c r="H25" s="155"/>
      <c r="I25" s="156"/>
      <c r="J25" s="217">
        <f t="shared" si="1"/>
        <v>0</v>
      </c>
      <c r="K25" s="219">
        <f t="shared" si="0"/>
        <v>0</v>
      </c>
    </row>
    <row r="26" spans="1:11" ht="22.25" hidden="1" customHeight="1" outlineLevel="2" x14ac:dyDescent="0.35">
      <c r="A26" s="165"/>
      <c r="B26" s="168" t="s">
        <v>196</v>
      </c>
      <c r="C26" s="168" t="s">
        <v>197</v>
      </c>
      <c r="D26" s="169" t="s">
        <v>172</v>
      </c>
      <c r="E26" s="217">
        <f>VLOOKUP(C26,Lists!$Q$5:$U$43, MATCH(D26,Lists!$Q$4:$U$4,0),0)</f>
        <v>1986</v>
      </c>
      <c r="F26" s="155"/>
      <c r="G26" s="155"/>
      <c r="H26" s="155"/>
      <c r="I26" s="156"/>
      <c r="J26" s="217">
        <f t="shared" si="1"/>
        <v>0</v>
      </c>
      <c r="K26" s="219">
        <f t="shared" si="0"/>
        <v>0</v>
      </c>
    </row>
    <row r="27" spans="1:11" ht="22.25" hidden="1" customHeight="1" outlineLevel="2" x14ac:dyDescent="0.35">
      <c r="A27" s="165"/>
      <c r="B27" s="168" t="s">
        <v>196</v>
      </c>
      <c r="C27" s="168" t="s">
        <v>197</v>
      </c>
      <c r="D27" s="169" t="s">
        <v>172</v>
      </c>
      <c r="E27" s="217">
        <f>VLOOKUP(C27,Lists!$Q$5:$U$43, MATCH(D27,Lists!$Q$4:$U$4,0),0)</f>
        <v>1986</v>
      </c>
      <c r="F27" s="155"/>
      <c r="G27" s="155"/>
      <c r="H27" s="155"/>
      <c r="I27" s="156"/>
      <c r="J27" s="217">
        <f t="shared" si="1"/>
        <v>0</v>
      </c>
      <c r="K27" s="219">
        <f t="shared" si="0"/>
        <v>0</v>
      </c>
    </row>
    <row r="28" spans="1:11" ht="22.25" hidden="1" customHeight="1" outlineLevel="2" x14ac:dyDescent="0.35">
      <c r="A28" s="165"/>
      <c r="B28" s="168" t="s">
        <v>198</v>
      </c>
      <c r="C28" s="168" t="s">
        <v>199</v>
      </c>
      <c r="D28" s="169" t="s">
        <v>172</v>
      </c>
      <c r="E28" s="217">
        <f>VLOOKUP(C28,Lists!$Q$5:$U$43, MATCH(D28,Lists!$Q$4:$U$4,0),0)</f>
        <v>2400</v>
      </c>
      <c r="F28" s="155"/>
      <c r="G28" s="155"/>
      <c r="H28" s="155"/>
      <c r="I28" s="156"/>
      <c r="J28" s="217">
        <f t="shared" si="1"/>
        <v>0</v>
      </c>
      <c r="K28" s="219">
        <f t="shared" si="0"/>
        <v>0</v>
      </c>
    </row>
    <row r="29" spans="1:11" ht="22.25" hidden="1" customHeight="1" outlineLevel="2" x14ac:dyDescent="0.35">
      <c r="A29" s="165"/>
      <c r="B29" s="168" t="s">
        <v>182</v>
      </c>
      <c r="C29" s="168" t="s">
        <v>183</v>
      </c>
      <c r="D29" s="169" t="s">
        <v>172</v>
      </c>
      <c r="E29" s="217">
        <f>VLOOKUP(C29,Lists!$Q$5:$U$43, MATCH(D29,Lists!$Q$4:$U$4,0),0)</f>
        <v>2857</v>
      </c>
      <c r="F29" s="155"/>
      <c r="G29" s="155"/>
      <c r="H29" s="155"/>
      <c r="I29" s="156"/>
      <c r="J29" s="217">
        <f t="shared" si="1"/>
        <v>0</v>
      </c>
      <c r="K29" s="219">
        <f t="shared" si="0"/>
        <v>0</v>
      </c>
    </row>
    <row r="30" spans="1:11" ht="22.25" hidden="1" customHeight="1" outlineLevel="2" x14ac:dyDescent="0.35">
      <c r="A30" s="165"/>
      <c r="B30" s="168" t="s">
        <v>174</v>
      </c>
      <c r="C30" s="168" t="s">
        <v>177</v>
      </c>
      <c r="D30" s="169" t="s">
        <v>189</v>
      </c>
      <c r="E30" s="217">
        <f>VLOOKUP(C30,Lists!$Q$5:$U$43, MATCH(D30,Lists!$Q$4:$U$4,0),0)</f>
        <v>2100</v>
      </c>
      <c r="F30" s="155">
        <v>0</v>
      </c>
      <c r="G30" s="155">
        <v>1</v>
      </c>
      <c r="H30" s="155">
        <v>1</v>
      </c>
      <c r="I30" s="156">
        <v>1</v>
      </c>
      <c r="J30" s="217">
        <f t="shared" si="1"/>
        <v>3</v>
      </c>
      <c r="K30" s="219">
        <f t="shared" si="0"/>
        <v>6300</v>
      </c>
    </row>
    <row r="31" spans="1:11" ht="22.25" hidden="1" customHeight="1" outlineLevel="2" x14ac:dyDescent="0.35">
      <c r="A31" s="165"/>
      <c r="B31" s="168" t="s">
        <v>174</v>
      </c>
      <c r="C31" s="168" t="s">
        <v>169</v>
      </c>
      <c r="D31" s="169" t="s">
        <v>180</v>
      </c>
      <c r="E31" s="217">
        <f>VLOOKUP(C31,Lists!$Q$5:$U$43, MATCH(D31,Lists!$Q$4:$U$4,0),0)</f>
        <v>615</v>
      </c>
      <c r="F31" s="155">
        <v>1</v>
      </c>
      <c r="G31" s="155">
        <v>1</v>
      </c>
      <c r="H31" s="155">
        <v>1</v>
      </c>
      <c r="I31" s="156">
        <v>1</v>
      </c>
      <c r="J31" s="217">
        <f t="shared" si="1"/>
        <v>4</v>
      </c>
      <c r="K31" s="219">
        <f t="shared" si="0"/>
        <v>2460</v>
      </c>
    </row>
    <row r="32" spans="1:11" ht="22.25" hidden="1" customHeight="1" outlineLevel="2" x14ac:dyDescent="0.35">
      <c r="A32" s="165"/>
      <c r="B32" s="168" t="s">
        <v>174</v>
      </c>
      <c r="C32" s="168" t="s">
        <v>169</v>
      </c>
      <c r="D32" s="169" t="s">
        <v>180</v>
      </c>
      <c r="E32" s="217">
        <f>VLOOKUP(C32,Lists!$Q$5:$U$43, MATCH(D32,Lists!$Q$4:$U$4,0),0)</f>
        <v>615</v>
      </c>
      <c r="F32" s="155">
        <v>0</v>
      </c>
      <c r="G32" s="155">
        <v>2</v>
      </c>
      <c r="H32" s="155">
        <v>1</v>
      </c>
      <c r="I32" s="156">
        <v>1</v>
      </c>
      <c r="J32" s="217">
        <f>SUM(F32:I32)</f>
        <v>4</v>
      </c>
      <c r="K32" s="219">
        <f t="shared" si="0"/>
        <v>2460</v>
      </c>
    </row>
    <row r="33" spans="1:11" ht="22.25" hidden="1" customHeight="1" outlineLevel="2" x14ac:dyDescent="0.35">
      <c r="A33" s="165"/>
      <c r="B33" s="168" t="s">
        <v>200</v>
      </c>
      <c r="C33" s="168" t="s">
        <v>201</v>
      </c>
      <c r="D33" s="169" t="s">
        <v>180</v>
      </c>
      <c r="E33" s="217">
        <f>VLOOKUP(C33,Lists!$Q$5:$U$43, MATCH(D33,Lists!$Q$4:$U$4,0),0)</f>
        <v>615</v>
      </c>
      <c r="F33" s="155"/>
      <c r="G33" s="155"/>
      <c r="H33" s="155"/>
      <c r="I33" s="156"/>
      <c r="J33" s="217">
        <f t="shared" si="1"/>
        <v>0</v>
      </c>
      <c r="K33" s="219">
        <f t="shared" si="0"/>
        <v>0</v>
      </c>
    </row>
    <row r="34" spans="1:11" ht="22.25" hidden="1" customHeight="1" outlineLevel="2" x14ac:dyDescent="0.35">
      <c r="A34" s="166"/>
      <c r="B34" s="168" t="s">
        <v>200</v>
      </c>
      <c r="C34" s="168" t="s">
        <v>201</v>
      </c>
      <c r="D34" s="169" t="s">
        <v>180</v>
      </c>
      <c r="E34" s="217">
        <f>VLOOKUP(C34,Lists!$Q$5:$U$43, MATCH(D34,Lists!$Q$4:$U$4,0),0)</f>
        <v>615</v>
      </c>
      <c r="F34" s="155"/>
      <c r="G34" s="155"/>
      <c r="H34" s="155"/>
      <c r="I34" s="156"/>
      <c r="J34" s="217">
        <f>SUM(F34:I34)</f>
        <v>0</v>
      </c>
      <c r="K34" s="219">
        <f t="shared" si="0"/>
        <v>0</v>
      </c>
    </row>
    <row r="35" spans="1:11" ht="22.25" hidden="1" customHeight="1" outlineLevel="2" x14ac:dyDescent="0.35">
      <c r="A35" s="180" t="s">
        <v>202</v>
      </c>
      <c r="B35" s="168" t="s">
        <v>203</v>
      </c>
      <c r="C35" s="168" t="s">
        <v>204</v>
      </c>
      <c r="D35" s="169" t="s">
        <v>172</v>
      </c>
      <c r="E35" s="217">
        <f>VLOOKUP(C35,Lists!$Q$5:$U$43, MATCH(D35,Lists!$Q$4:$U$4,0),0)</f>
        <v>1800</v>
      </c>
      <c r="F35" s="155"/>
      <c r="G35" s="155"/>
      <c r="H35" s="155"/>
      <c r="I35" s="156"/>
      <c r="J35" s="217">
        <f>SUM(F35:I35)</f>
        <v>0</v>
      </c>
      <c r="K35" s="219">
        <f t="shared" si="0"/>
        <v>0</v>
      </c>
    </row>
    <row r="36" spans="1:11" ht="22.25" hidden="1" customHeight="1" outlineLevel="2" x14ac:dyDescent="0.35">
      <c r="A36" s="180" t="s">
        <v>202</v>
      </c>
      <c r="B36" s="168" t="s">
        <v>203</v>
      </c>
      <c r="C36" s="168" t="s">
        <v>205</v>
      </c>
      <c r="D36" s="169" t="s">
        <v>189</v>
      </c>
      <c r="E36" s="217">
        <f>VLOOKUP(C36,Lists!$Q$5:$U$43, MATCH(D36,Lists!$Q$4:$U$4,0),0)</f>
        <v>0</v>
      </c>
      <c r="F36" s="155"/>
      <c r="G36" s="155"/>
      <c r="H36" s="155"/>
      <c r="I36" s="156"/>
      <c r="J36" s="217">
        <f>SUM(F36:I36)</f>
        <v>0</v>
      </c>
      <c r="K36" s="219">
        <f t="shared" si="0"/>
        <v>0</v>
      </c>
    </row>
    <row r="37" spans="1:11" ht="22.25" hidden="1" customHeight="1" outlineLevel="2" x14ac:dyDescent="0.35">
      <c r="A37" s="180" t="s">
        <v>202</v>
      </c>
      <c r="B37" s="168" t="s">
        <v>203</v>
      </c>
      <c r="C37" s="168" t="s">
        <v>206</v>
      </c>
      <c r="D37" s="169" t="s">
        <v>180</v>
      </c>
      <c r="E37" s="217">
        <f>VLOOKUP(C37,Lists!$Q$5:$U$43, MATCH(D37,Lists!$Q$4:$U$4,0),0)</f>
        <v>0</v>
      </c>
      <c r="F37" s="155"/>
      <c r="G37" s="155"/>
      <c r="H37" s="155"/>
      <c r="I37" s="156"/>
      <c r="J37" s="217">
        <f>SUM(F37:I37)</f>
        <v>0</v>
      </c>
      <c r="K37" s="219">
        <f t="shared" si="0"/>
        <v>0</v>
      </c>
    </row>
    <row r="38" spans="1:11" ht="22.25" hidden="1" customHeight="1" outlineLevel="2" x14ac:dyDescent="0.35">
      <c r="A38" s="180" t="s">
        <v>202</v>
      </c>
      <c r="B38" s="168" t="s">
        <v>203</v>
      </c>
      <c r="C38" s="168" t="s">
        <v>207</v>
      </c>
      <c r="D38" s="169" t="s">
        <v>180</v>
      </c>
      <c r="E38" s="217">
        <f>VLOOKUP(C38,Lists!$Q$5:$U$43, MATCH(D38,Lists!$Q$4:$U$4,0),0)</f>
        <v>0</v>
      </c>
      <c r="F38" s="155"/>
      <c r="G38" s="155"/>
      <c r="H38" s="155"/>
      <c r="I38" s="157"/>
      <c r="J38" s="217">
        <f>SUM(F38:I38)</f>
        <v>0</v>
      </c>
      <c r="K38" s="219">
        <f t="shared" si="0"/>
        <v>0</v>
      </c>
    </row>
    <row r="39" spans="1:11" ht="14.75" hidden="1" customHeight="1" outlineLevel="2" x14ac:dyDescent="0.35">
      <c r="A39" s="174"/>
      <c r="B39" s="174"/>
      <c r="C39" s="174"/>
      <c r="D39" s="174"/>
      <c r="E39" s="177" t="s">
        <v>208</v>
      </c>
      <c r="F39" s="220">
        <f>SUM(F11:F38)</f>
        <v>1</v>
      </c>
      <c r="G39" s="220">
        <f>SUM(G11:G38)</f>
        <v>146.5</v>
      </c>
      <c r="H39" s="220">
        <f>SUM(H11:H38)</f>
        <v>1433</v>
      </c>
      <c r="I39" s="220">
        <f>SUM(I11:I38)</f>
        <v>98</v>
      </c>
      <c r="J39" s="220">
        <f>SUM(J11:J38)</f>
        <v>1678.5</v>
      </c>
      <c r="K39" s="219"/>
    </row>
    <row r="40" spans="1:11" ht="14.75" hidden="1" customHeight="1" outlineLevel="2" x14ac:dyDescent="0.35">
      <c r="A40" s="174"/>
      <c r="B40" s="174"/>
      <c r="C40" s="174"/>
      <c r="D40" s="174"/>
      <c r="E40" s="177" t="s">
        <v>209</v>
      </c>
      <c r="F40" s="221">
        <f>SUM((F11*$E$11)+(F12*$E$12)+(F13*$E$13)+(F14*$E$14)+(F15*$E$15)+(F16*$E$16)+(F17*$E$17)+(F18*$E$18)+(F19*$E$19)+(F20*$E$20)+(F21*$E$21)+(F22*$E$22)+(F23*$E$23)+(F24*$E$24)+(F25*$E$25)+(F26*$E$26)+(F27*$E$27)+(F28*$E$28)+(F29*$E$29)+(F30*$E$30)+(F31*$E$31)+(F32*$E$32)+(F33*$E$33)+(F38*$E$34))</f>
        <v>615</v>
      </c>
      <c r="G40" s="221">
        <f>SUM((G11*$E$11)+(G12*$E$12)+(G13*$E$13)+(G14*$E$14)+(G15*$E$15)+(G16*$E$16)+(G17*$E$17)+(G18*$E$18)+(G19*$E$19)+(G20*$E$20)+(G21*$E$21)+(G22*$E$22)+(G23*$E$23)+(G24*$E$24)+(G25*$E$25)+(G26*$E$26)+(G27*$E$27)+(G28*$E$28)+(G29*$E$29)+(G30*$E$30)+(G31*$E$31)+(G32*$E$32)+(G33*$E$33)+(G38*$E$34))</f>
        <v>360472.5</v>
      </c>
      <c r="H40" s="221">
        <f>SUM((H11*$E$11)+(H12*$E$12)+(H13*$E$13)+(H14*$E$14)+(H15*$E$15)+(H16*$E$16)+(H17*$E$17)+(H18*$E$18)+(H19*$E$19)+(H20*$E$20)+(H21*$E$21)+(H22*$E$22)+(H23*$E$23)+(H24*$E$24)+(H25*$E$25)+(H26*$E$26)+(H27*$E$27)+(H28*$E$28)+(H29*$E$29)+(H30*$E$30)+(H31*$E$31)+(H32*$E$32)+(H33*$E$33)+(H38*$E$34))</f>
        <v>3434930</v>
      </c>
      <c r="I40" s="221">
        <f>SUM((I11*$E$11)+(I12*$E$12)+(I13*$E$13)+(I14*$E$14)+(I15*$E$15)+(I16*$E$16)+(I17*$E$17)+(I18*$E$18)+(I19*$E$19)+(I20*$E$20)+(I21*$E$21)+(I22*$E$22)+(I23*$E$23)+(I24*$E$24)+(I25*$E$25)+(I26*$E$26)+(I27*$E$27)+(I28*$E$28)+(I29*$E$29)+(I30*$E$30)+(I31*$E$31)+(I32*$E$32)+(I33*$E$33)+(I38*$E$34))</f>
        <v>243945</v>
      </c>
      <c r="J40" s="221"/>
      <c r="K40" s="222"/>
    </row>
    <row r="41" spans="1:11" ht="15.5" hidden="1" outlineLevel="2" x14ac:dyDescent="0.35">
      <c r="A41" s="1"/>
      <c r="B41" s="5"/>
      <c r="C41" s="5"/>
      <c r="D41" s="5"/>
      <c r="E41" s="5"/>
      <c r="F41" s="441" t="s">
        <v>210</v>
      </c>
      <c r="G41" s="441"/>
      <c r="H41" s="441"/>
      <c r="I41" s="441"/>
      <c r="J41" s="441"/>
      <c r="K41" s="223">
        <f>SUM(K11:K38)</f>
        <v>4039962.5</v>
      </c>
    </row>
    <row r="42" spans="1:11" hidden="1" outlineLevel="2" x14ac:dyDescent="0.35">
      <c r="A42" s="1"/>
      <c r="B42" s="5"/>
      <c r="C42" s="5"/>
      <c r="D42" s="5"/>
      <c r="E42" s="5"/>
      <c r="F42" s="5"/>
      <c r="G42" s="5"/>
      <c r="H42" s="5"/>
      <c r="I42" s="5"/>
      <c r="J42" s="5"/>
    </row>
    <row r="43" spans="1:11" hidden="1" outlineLevel="2" x14ac:dyDescent="0.35">
      <c r="I43"/>
      <c r="J43"/>
    </row>
    <row r="44" spans="1:11" hidden="1" outlineLevel="2" x14ac:dyDescent="0.35"/>
    <row r="45" spans="1:11" outlineLevel="1" x14ac:dyDescent="0.35"/>
    <row r="46" spans="1:11" ht="18.5" outlineLevel="1" collapsed="1" x14ac:dyDescent="0.45">
      <c r="A46" s="183" t="s">
        <v>211</v>
      </c>
      <c r="B46" s="183"/>
      <c r="C46" s="183"/>
      <c r="D46" s="183"/>
      <c r="E46" s="184">
        <f>E68</f>
        <v>30602</v>
      </c>
    </row>
    <row r="47" spans="1:11" hidden="1" outlineLevel="3" x14ac:dyDescent="0.35">
      <c r="A47" s="430" t="s">
        <v>212</v>
      </c>
      <c r="B47" s="430" t="s">
        <v>213</v>
      </c>
      <c r="C47" s="432" t="s">
        <v>214</v>
      </c>
      <c r="D47" s="419" t="s">
        <v>117</v>
      </c>
      <c r="E47" s="420"/>
    </row>
    <row r="48" spans="1:11" hidden="1" outlineLevel="3" x14ac:dyDescent="0.35">
      <c r="A48" s="431"/>
      <c r="B48" s="431"/>
      <c r="C48" s="433"/>
      <c r="D48" s="37" t="s">
        <v>215</v>
      </c>
      <c r="E48" s="37" t="s">
        <v>216</v>
      </c>
    </row>
    <row r="49" spans="1:5" ht="15.5" hidden="1" outlineLevel="3" x14ac:dyDescent="0.35">
      <c r="A49" s="72" t="s">
        <v>91</v>
      </c>
      <c r="B49" s="92"/>
      <c r="C49" s="92">
        <v>20000</v>
      </c>
      <c r="D49" s="38">
        <v>1</v>
      </c>
      <c r="E49" s="233">
        <f>IF(C49&lt;&gt;"",C49*D49,"-")</f>
        <v>20000</v>
      </c>
    </row>
    <row r="50" spans="1:5" ht="15.5" hidden="1" outlineLevel="3" x14ac:dyDescent="0.35">
      <c r="A50" s="72" t="s">
        <v>92</v>
      </c>
      <c r="B50" s="38"/>
      <c r="C50" s="38">
        <v>4000</v>
      </c>
      <c r="D50" s="38">
        <v>1</v>
      </c>
      <c r="E50" s="233">
        <f t="shared" ref="E50:E67" si="2">IF(C50&lt;&gt;"",C50*D50,"-")</f>
        <v>4000</v>
      </c>
    </row>
    <row r="51" spans="1:5" ht="15.5" hidden="1" outlineLevel="3" x14ac:dyDescent="0.35">
      <c r="A51" s="72" t="s">
        <v>93</v>
      </c>
      <c r="B51" s="38"/>
      <c r="C51" s="38">
        <v>6000</v>
      </c>
      <c r="D51" s="38">
        <v>1</v>
      </c>
      <c r="E51" s="233">
        <f t="shared" si="2"/>
        <v>6000</v>
      </c>
    </row>
    <row r="52" spans="1:5" ht="15.5" hidden="1" outlineLevel="3" x14ac:dyDescent="0.35">
      <c r="A52" s="72" t="s">
        <v>217</v>
      </c>
      <c r="B52" s="38"/>
      <c r="C52" s="38">
        <v>2</v>
      </c>
      <c r="D52" s="38">
        <v>1</v>
      </c>
      <c r="E52" s="233">
        <f t="shared" si="2"/>
        <v>2</v>
      </c>
    </row>
    <row r="53" spans="1:5" ht="15.5" hidden="1" outlineLevel="3" x14ac:dyDescent="0.35">
      <c r="A53" s="72" t="s">
        <v>217</v>
      </c>
      <c r="B53" s="38"/>
      <c r="C53" s="38"/>
      <c r="D53" s="38"/>
      <c r="E53" s="233" t="str">
        <f t="shared" si="2"/>
        <v>-</v>
      </c>
    </row>
    <row r="54" spans="1:5" ht="15.5" hidden="1" outlineLevel="3" x14ac:dyDescent="0.35">
      <c r="A54" s="72" t="s">
        <v>217</v>
      </c>
      <c r="B54" s="38"/>
      <c r="C54" s="38"/>
      <c r="D54" s="38"/>
      <c r="E54" s="233" t="str">
        <f t="shared" si="2"/>
        <v>-</v>
      </c>
    </row>
    <row r="55" spans="1:5" ht="15.5" hidden="1" outlineLevel="3" x14ac:dyDescent="0.35">
      <c r="A55" s="72" t="s">
        <v>217</v>
      </c>
      <c r="B55" s="38"/>
      <c r="C55" s="38"/>
      <c r="D55" s="38"/>
      <c r="E55" s="233" t="str">
        <f t="shared" si="2"/>
        <v>-</v>
      </c>
    </row>
    <row r="56" spans="1:5" ht="15.5" hidden="1" outlineLevel="3" x14ac:dyDescent="0.35">
      <c r="A56" s="72"/>
      <c r="B56" s="38"/>
      <c r="C56" s="38"/>
      <c r="D56" s="38"/>
      <c r="E56" s="233"/>
    </row>
    <row r="57" spans="1:5" ht="15.5" hidden="1" outlineLevel="3" x14ac:dyDescent="0.35">
      <c r="A57" s="72" t="s">
        <v>217</v>
      </c>
      <c r="B57" s="38"/>
      <c r="C57" s="38"/>
      <c r="D57" s="38"/>
      <c r="E57" s="233" t="str">
        <f t="shared" si="2"/>
        <v>-</v>
      </c>
    </row>
    <row r="58" spans="1:5" ht="15.5" hidden="1" outlineLevel="3" x14ac:dyDescent="0.35">
      <c r="A58" s="72" t="s">
        <v>217</v>
      </c>
      <c r="B58" s="38"/>
      <c r="C58" s="38"/>
      <c r="D58" s="38"/>
      <c r="E58" s="233" t="str">
        <f t="shared" si="2"/>
        <v>-</v>
      </c>
    </row>
    <row r="59" spans="1:5" ht="15.5" hidden="1" outlineLevel="3" x14ac:dyDescent="0.35">
      <c r="A59" s="72" t="s">
        <v>217</v>
      </c>
      <c r="B59" s="38"/>
      <c r="C59" s="38"/>
      <c r="D59" s="38"/>
      <c r="E59" s="233" t="str">
        <f t="shared" si="2"/>
        <v>-</v>
      </c>
    </row>
    <row r="60" spans="1:5" ht="15.5" hidden="1" outlineLevel="3" x14ac:dyDescent="0.35">
      <c r="A60" s="72" t="s">
        <v>217</v>
      </c>
      <c r="B60" s="38"/>
      <c r="C60" s="38"/>
      <c r="D60" s="38"/>
      <c r="E60" s="233" t="str">
        <f t="shared" si="2"/>
        <v>-</v>
      </c>
    </row>
    <row r="61" spans="1:5" ht="15.5" hidden="1" outlineLevel="3" x14ac:dyDescent="0.35">
      <c r="A61" s="72" t="s">
        <v>217</v>
      </c>
      <c r="B61" s="38"/>
      <c r="C61" s="38"/>
      <c r="D61" s="38"/>
      <c r="E61" s="233" t="str">
        <f t="shared" si="2"/>
        <v>-</v>
      </c>
    </row>
    <row r="62" spans="1:5" ht="15.5" hidden="1" outlineLevel="3" x14ac:dyDescent="0.35">
      <c r="A62" s="72" t="s">
        <v>217</v>
      </c>
      <c r="B62" s="38"/>
      <c r="C62" s="38"/>
      <c r="D62" s="38"/>
      <c r="E62" s="233" t="str">
        <f t="shared" si="2"/>
        <v>-</v>
      </c>
    </row>
    <row r="63" spans="1:5" ht="15.5" hidden="1" outlineLevel="3" x14ac:dyDescent="0.35">
      <c r="A63" s="72" t="s">
        <v>217</v>
      </c>
      <c r="B63" s="38"/>
      <c r="C63" s="38"/>
      <c r="D63" s="38"/>
      <c r="E63" s="233" t="str">
        <f t="shared" si="2"/>
        <v>-</v>
      </c>
    </row>
    <row r="64" spans="1:5" ht="15.5" hidden="1" outlineLevel="3" x14ac:dyDescent="0.35">
      <c r="A64" s="72" t="s">
        <v>217</v>
      </c>
      <c r="B64" s="38"/>
      <c r="C64" s="38"/>
      <c r="D64" s="38"/>
      <c r="E64" s="233" t="str">
        <f t="shared" si="2"/>
        <v>-</v>
      </c>
    </row>
    <row r="65" spans="1:5" ht="15.5" hidden="1" outlineLevel="3" x14ac:dyDescent="0.35">
      <c r="A65" s="72" t="s">
        <v>217</v>
      </c>
      <c r="B65" s="38"/>
      <c r="C65" s="38"/>
      <c r="D65" s="38"/>
      <c r="E65" s="233" t="str">
        <f t="shared" si="2"/>
        <v>-</v>
      </c>
    </row>
    <row r="66" spans="1:5" ht="15.5" hidden="1" outlineLevel="3" x14ac:dyDescent="0.35">
      <c r="A66" s="72" t="s">
        <v>217</v>
      </c>
      <c r="B66" s="38"/>
      <c r="C66" s="38"/>
      <c r="D66" s="38"/>
      <c r="E66" s="233" t="str">
        <f t="shared" si="2"/>
        <v>-</v>
      </c>
    </row>
    <row r="67" spans="1:5" ht="15.5" hidden="1" outlineLevel="3" x14ac:dyDescent="0.35">
      <c r="A67" s="72" t="s">
        <v>94</v>
      </c>
      <c r="B67" s="38"/>
      <c r="C67" s="38">
        <v>600</v>
      </c>
      <c r="D67" s="38">
        <v>1</v>
      </c>
      <c r="E67" s="233">
        <f t="shared" si="2"/>
        <v>600</v>
      </c>
    </row>
    <row r="68" spans="1:5" ht="15" hidden="1" outlineLevel="3" thickBot="1" x14ac:dyDescent="0.4">
      <c r="A68" s="435" t="s">
        <v>218</v>
      </c>
      <c r="B68" s="436"/>
      <c r="C68" s="437"/>
      <c r="D68" s="234"/>
      <c r="E68" s="235">
        <f>SUM(E49:E67)</f>
        <v>30602</v>
      </c>
    </row>
    <row r="69" spans="1:5" outlineLevel="1" x14ac:dyDescent="0.35"/>
    <row r="70" spans="1:5" ht="18.5" outlineLevel="1" collapsed="1" x14ac:dyDescent="0.45">
      <c r="A70" s="183" t="s">
        <v>46</v>
      </c>
      <c r="B70" s="183"/>
      <c r="C70" s="183"/>
      <c r="D70" s="183"/>
      <c r="E70" s="184">
        <f>E93</f>
        <v>22020</v>
      </c>
    </row>
    <row r="71" spans="1:5" hidden="1" outlineLevel="2" x14ac:dyDescent="0.35">
      <c r="A71" s="430" t="s">
        <v>219</v>
      </c>
      <c r="B71" s="430" t="s">
        <v>220</v>
      </c>
      <c r="C71" s="432" t="s">
        <v>214</v>
      </c>
      <c r="D71" s="419" t="s">
        <v>117</v>
      </c>
      <c r="E71" s="420"/>
    </row>
    <row r="72" spans="1:5" hidden="1" outlineLevel="2" x14ac:dyDescent="0.35">
      <c r="A72" s="431"/>
      <c r="B72" s="431"/>
      <c r="C72" s="433"/>
      <c r="D72" s="37" t="s">
        <v>221</v>
      </c>
      <c r="E72" s="37" t="s">
        <v>216</v>
      </c>
    </row>
    <row r="73" spans="1:5" hidden="1" outlineLevel="2" x14ac:dyDescent="0.35">
      <c r="A73" s="92" t="s">
        <v>222</v>
      </c>
      <c r="B73" s="92" t="s">
        <v>223</v>
      </c>
      <c r="C73" s="92">
        <v>11000</v>
      </c>
      <c r="D73" s="38">
        <v>1</v>
      </c>
      <c r="E73" s="233">
        <f>IF(C73&lt;&gt;"",C73*D73,"-")</f>
        <v>11000</v>
      </c>
    </row>
    <row r="74" spans="1:5" hidden="1" outlineLevel="2" x14ac:dyDescent="0.35">
      <c r="A74" s="38" t="s">
        <v>224</v>
      </c>
      <c r="B74" s="38" t="s">
        <v>225</v>
      </c>
      <c r="C74" s="38">
        <v>4000</v>
      </c>
      <c r="D74" s="38">
        <v>1</v>
      </c>
      <c r="E74" s="233">
        <f t="shared" ref="E74:E92" si="3">IF(C74&lt;&gt;"",C74*D74,"-")</f>
        <v>4000</v>
      </c>
    </row>
    <row r="75" spans="1:5" hidden="1" outlineLevel="2" x14ac:dyDescent="0.35">
      <c r="A75" s="38" t="s">
        <v>226</v>
      </c>
      <c r="B75" s="38"/>
      <c r="C75" s="38"/>
      <c r="D75" s="38"/>
      <c r="E75" s="233" t="str">
        <f t="shared" si="3"/>
        <v>-</v>
      </c>
    </row>
    <row r="76" spans="1:5" hidden="1" outlineLevel="2" x14ac:dyDescent="0.35">
      <c r="A76" s="38" t="s">
        <v>226</v>
      </c>
      <c r="B76" s="38"/>
      <c r="C76" s="38"/>
      <c r="D76" s="38"/>
      <c r="E76" s="233" t="str">
        <f t="shared" si="3"/>
        <v>-</v>
      </c>
    </row>
    <row r="77" spans="1:5" hidden="1" outlineLevel="2" x14ac:dyDescent="0.35">
      <c r="A77" s="38" t="s">
        <v>226</v>
      </c>
      <c r="B77" s="38"/>
      <c r="C77" s="38"/>
      <c r="D77" s="38"/>
      <c r="E77" s="233" t="str">
        <f t="shared" si="3"/>
        <v>-</v>
      </c>
    </row>
    <row r="78" spans="1:5" hidden="1" outlineLevel="2" x14ac:dyDescent="0.35">
      <c r="A78" s="38" t="s">
        <v>226</v>
      </c>
      <c r="B78" s="38"/>
      <c r="C78" s="38"/>
      <c r="D78" s="38"/>
      <c r="E78" s="233" t="str">
        <f t="shared" si="3"/>
        <v>-</v>
      </c>
    </row>
    <row r="79" spans="1:5" hidden="1" outlineLevel="2" x14ac:dyDescent="0.35">
      <c r="A79" s="38" t="s">
        <v>226</v>
      </c>
      <c r="B79" s="38"/>
      <c r="C79" s="38"/>
      <c r="D79" s="38"/>
      <c r="E79" s="233" t="str">
        <f t="shared" si="3"/>
        <v>-</v>
      </c>
    </row>
    <row r="80" spans="1:5" hidden="1" outlineLevel="2" x14ac:dyDescent="0.35">
      <c r="A80" s="38" t="s">
        <v>226</v>
      </c>
      <c r="B80" s="38"/>
      <c r="C80" s="38"/>
      <c r="D80" s="38"/>
      <c r="E80" s="233" t="str">
        <f t="shared" si="3"/>
        <v>-</v>
      </c>
    </row>
    <row r="81" spans="1:6" hidden="1" outlineLevel="2" x14ac:dyDescent="0.35">
      <c r="A81" s="38" t="s">
        <v>226</v>
      </c>
      <c r="B81" s="38"/>
      <c r="C81" s="38"/>
      <c r="D81" s="38"/>
      <c r="E81" s="233" t="str">
        <f t="shared" si="3"/>
        <v>-</v>
      </c>
    </row>
    <row r="82" spans="1:6" hidden="1" outlineLevel="2" x14ac:dyDescent="0.35">
      <c r="A82" s="38" t="s">
        <v>226</v>
      </c>
      <c r="B82" s="38"/>
      <c r="C82" s="38"/>
      <c r="D82" s="38"/>
      <c r="E82" s="233" t="str">
        <f t="shared" si="3"/>
        <v>-</v>
      </c>
    </row>
    <row r="83" spans="1:6" hidden="1" outlineLevel="2" x14ac:dyDescent="0.35">
      <c r="A83" s="38" t="s">
        <v>226</v>
      </c>
      <c r="B83" s="38"/>
      <c r="C83" s="38"/>
      <c r="D83" s="38"/>
      <c r="E83" s="233" t="str">
        <f t="shared" si="3"/>
        <v>-</v>
      </c>
    </row>
    <row r="84" spans="1:6" hidden="1" outlineLevel="2" x14ac:dyDescent="0.35">
      <c r="A84" s="38" t="s">
        <v>226</v>
      </c>
      <c r="B84" s="38"/>
      <c r="C84" s="38"/>
      <c r="D84" s="38"/>
      <c r="E84" s="233" t="str">
        <f t="shared" si="3"/>
        <v>-</v>
      </c>
    </row>
    <row r="85" spans="1:6" hidden="1" outlineLevel="2" x14ac:dyDescent="0.35">
      <c r="A85" s="38" t="s">
        <v>226</v>
      </c>
      <c r="B85" s="38"/>
      <c r="C85" s="38"/>
      <c r="D85" s="38"/>
      <c r="E85" s="233" t="str">
        <f t="shared" si="3"/>
        <v>-</v>
      </c>
    </row>
    <row r="86" spans="1:6" hidden="1" outlineLevel="2" x14ac:dyDescent="0.35">
      <c r="A86" s="38" t="s">
        <v>226</v>
      </c>
      <c r="B86" s="38"/>
      <c r="C86" s="38"/>
      <c r="D86" s="38"/>
      <c r="E86" s="233" t="str">
        <f t="shared" si="3"/>
        <v>-</v>
      </c>
    </row>
    <row r="87" spans="1:6" hidden="1" outlineLevel="2" x14ac:dyDescent="0.35">
      <c r="A87" s="38" t="s">
        <v>226</v>
      </c>
      <c r="B87" s="38"/>
      <c r="C87" s="38"/>
      <c r="D87" s="38"/>
      <c r="E87" s="233" t="str">
        <f t="shared" si="3"/>
        <v>-</v>
      </c>
    </row>
    <row r="88" spans="1:6" hidden="1" outlineLevel="2" x14ac:dyDescent="0.35">
      <c r="A88" s="38" t="s">
        <v>224</v>
      </c>
      <c r="B88" s="38" t="s">
        <v>227</v>
      </c>
      <c r="C88" s="38">
        <v>6000</v>
      </c>
      <c r="D88" s="38">
        <v>1</v>
      </c>
      <c r="E88" s="233">
        <f t="shared" si="3"/>
        <v>6000</v>
      </c>
    </row>
    <row r="89" spans="1:6" hidden="1" outlineLevel="2" x14ac:dyDescent="0.35">
      <c r="A89" s="38" t="s">
        <v>222</v>
      </c>
      <c r="B89" s="38" t="s">
        <v>227</v>
      </c>
      <c r="C89" s="38">
        <v>600</v>
      </c>
      <c r="D89" s="38">
        <v>1</v>
      </c>
      <c r="E89" s="233">
        <f t="shared" si="3"/>
        <v>600</v>
      </c>
    </row>
    <row r="90" spans="1:6" hidden="1" outlineLevel="2" x14ac:dyDescent="0.35">
      <c r="A90" s="38" t="s">
        <v>222</v>
      </c>
      <c r="B90" s="38" t="s">
        <v>223</v>
      </c>
      <c r="C90" s="38">
        <v>420</v>
      </c>
      <c r="D90" s="38">
        <v>1</v>
      </c>
      <c r="E90" s="233">
        <f t="shared" si="3"/>
        <v>420</v>
      </c>
    </row>
    <row r="91" spans="1:6" hidden="1" outlineLevel="2" x14ac:dyDescent="0.35">
      <c r="A91" s="38"/>
      <c r="B91" s="38"/>
      <c r="C91" s="38"/>
      <c r="D91" s="38"/>
      <c r="E91" s="233" t="str">
        <f t="shared" si="3"/>
        <v>-</v>
      </c>
    </row>
    <row r="92" spans="1:6" hidden="1" outlineLevel="2" x14ac:dyDescent="0.35">
      <c r="A92" s="38"/>
      <c r="B92" s="38"/>
      <c r="C92" s="38"/>
      <c r="D92" s="38"/>
      <c r="E92" s="233" t="str">
        <f t="shared" si="3"/>
        <v>-</v>
      </c>
    </row>
    <row r="93" spans="1:6" ht="15" hidden="1" outlineLevel="2" thickBot="1" x14ac:dyDescent="0.4">
      <c r="A93" s="435" t="s">
        <v>228</v>
      </c>
      <c r="B93" s="436"/>
      <c r="C93" s="437"/>
      <c r="D93" s="234"/>
      <c r="E93" s="235">
        <f>SUM(E73:E92)</f>
        <v>22020</v>
      </c>
    </row>
    <row r="94" spans="1:6" outlineLevel="1" x14ac:dyDescent="0.35"/>
    <row r="95" spans="1:6" ht="18.5" outlineLevel="1" collapsed="1" x14ac:dyDescent="0.45">
      <c r="A95" s="183" t="s">
        <v>50</v>
      </c>
      <c r="B95" s="183"/>
      <c r="C95" s="183"/>
      <c r="D95" s="183"/>
      <c r="E95" s="184">
        <f>F110</f>
        <v>72000</v>
      </c>
    </row>
    <row r="96" spans="1:6" hidden="1" outlineLevel="2" x14ac:dyDescent="0.35">
      <c r="A96" s="430" t="s">
        <v>212</v>
      </c>
      <c r="B96" s="430" t="s">
        <v>213</v>
      </c>
      <c r="C96" s="432" t="s">
        <v>229</v>
      </c>
      <c r="D96" s="419" t="s">
        <v>117</v>
      </c>
      <c r="E96" s="434"/>
      <c r="F96" s="420"/>
    </row>
    <row r="97" spans="1:10" hidden="1" outlineLevel="2" x14ac:dyDescent="0.35">
      <c r="A97" s="431"/>
      <c r="B97" s="431"/>
      <c r="C97" s="433"/>
      <c r="D97" s="37" t="s">
        <v>230</v>
      </c>
      <c r="E97" s="93" t="s">
        <v>231</v>
      </c>
      <c r="F97" s="37" t="s">
        <v>216</v>
      </c>
    </row>
    <row r="98" spans="1:10" ht="15.5" hidden="1" outlineLevel="2" x14ac:dyDescent="0.35">
      <c r="A98" s="71" t="s">
        <v>96</v>
      </c>
      <c r="B98" s="71"/>
      <c r="C98" s="71"/>
      <c r="D98" s="71"/>
      <c r="E98" s="71"/>
      <c r="F98" s="71"/>
    </row>
    <row r="99" spans="1:10" ht="15.5" hidden="1" outlineLevel="2" x14ac:dyDescent="0.35">
      <c r="A99" s="72" t="s">
        <v>97</v>
      </c>
      <c r="B99" s="92"/>
      <c r="C99" s="92">
        <v>5000</v>
      </c>
      <c r="D99" s="38">
        <v>1</v>
      </c>
      <c r="E99" s="68">
        <v>10</v>
      </c>
      <c r="F99" s="236">
        <f>IF(C99&lt;&gt;"",C99*D99*E99,"-")</f>
        <v>50000</v>
      </c>
    </row>
    <row r="100" spans="1:10" ht="15.5" hidden="1" outlineLevel="2" x14ac:dyDescent="0.35">
      <c r="A100" s="72" t="s">
        <v>98</v>
      </c>
      <c r="B100" s="38"/>
      <c r="C100" s="38">
        <v>5000</v>
      </c>
      <c r="D100" s="38">
        <v>2</v>
      </c>
      <c r="E100" s="68">
        <v>1</v>
      </c>
      <c r="F100" s="236">
        <f t="shared" ref="F100:F109" si="4">IF(C100&lt;&gt;"",C100*D100*E100,"-")</f>
        <v>10000</v>
      </c>
    </row>
    <row r="101" spans="1:10" ht="43.5" hidden="1" outlineLevel="2" x14ac:dyDescent="0.35">
      <c r="A101" s="72" t="s">
        <v>99</v>
      </c>
      <c r="B101" s="95" t="s">
        <v>232</v>
      </c>
      <c r="C101" s="38">
        <v>1200</v>
      </c>
      <c r="D101" s="38">
        <v>1</v>
      </c>
      <c r="E101" s="68">
        <v>10</v>
      </c>
      <c r="F101" s="236">
        <f t="shared" si="4"/>
        <v>12000</v>
      </c>
    </row>
    <row r="102" spans="1:10" ht="15.5" hidden="1" outlineLevel="2" x14ac:dyDescent="0.35">
      <c r="A102" s="72" t="s">
        <v>100</v>
      </c>
      <c r="B102" s="38"/>
      <c r="C102" s="38">
        <v>0</v>
      </c>
      <c r="D102" s="38">
        <v>0</v>
      </c>
      <c r="E102" s="68">
        <v>0</v>
      </c>
      <c r="F102" s="236">
        <f t="shared" si="4"/>
        <v>0</v>
      </c>
    </row>
    <row r="103" spans="1:10" ht="15.5" hidden="1" outlineLevel="2" x14ac:dyDescent="0.35">
      <c r="A103" s="72" t="s">
        <v>217</v>
      </c>
      <c r="B103" s="38"/>
      <c r="C103" s="38"/>
      <c r="D103" s="38"/>
      <c r="E103" s="68"/>
      <c r="F103" s="236" t="str">
        <f t="shared" si="4"/>
        <v>-</v>
      </c>
    </row>
    <row r="104" spans="1:10" ht="15.5" hidden="1" outlineLevel="2" x14ac:dyDescent="0.35">
      <c r="A104" s="72" t="s">
        <v>217</v>
      </c>
      <c r="B104" s="38"/>
      <c r="C104" s="38"/>
      <c r="D104" s="38"/>
      <c r="E104" s="68"/>
      <c r="F104" s="236" t="str">
        <f t="shared" si="4"/>
        <v>-</v>
      </c>
    </row>
    <row r="105" spans="1:10" ht="15.5" hidden="1" outlineLevel="2" x14ac:dyDescent="0.35">
      <c r="A105" s="72" t="s">
        <v>217</v>
      </c>
      <c r="B105" s="38"/>
      <c r="C105" s="38"/>
      <c r="D105" s="38"/>
      <c r="E105" s="68"/>
      <c r="F105" s="236" t="str">
        <f t="shared" si="4"/>
        <v>-</v>
      </c>
    </row>
    <row r="106" spans="1:10" ht="15.5" hidden="1" outlineLevel="2" x14ac:dyDescent="0.35">
      <c r="A106" s="72" t="s">
        <v>217</v>
      </c>
      <c r="B106" s="38"/>
      <c r="C106" s="38"/>
      <c r="D106" s="38"/>
      <c r="E106" s="68"/>
      <c r="F106" s="236" t="str">
        <f t="shared" si="4"/>
        <v>-</v>
      </c>
    </row>
    <row r="107" spans="1:10" ht="15.5" hidden="1" outlineLevel="2" x14ac:dyDescent="0.35">
      <c r="A107" s="72" t="s">
        <v>217</v>
      </c>
      <c r="B107" s="38"/>
      <c r="C107" s="38"/>
      <c r="D107" s="38"/>
      <c r="E107" s="68"/>
      <c r="F107" s="236" t="str">
        <f t="shared" si="4"/>
        <v>-</v>
      </c>
    </row>
    <row r="108" spans="1:10" ht="15.5" hidden="1" outlineLevel="2" x14ac:dyDescent="0.35">
      <c r="A108" s="72" t="s">
        <v>101</v>
      </c>
      <c r="B108" s="38"/>
      <c r="C108" s="38">
        <v>0</v>
      </c>
      <c r="D108" s="38">
        <v>0</v>
      </c>
      <c r="E108" s="68">
        <v>0</v>
      </c>
      <c r="F108" s="236">
        <f t="shared" si="4"/>
        <v>0</v>
      </c>
    </row>
    <row r="109" spans="1:10" ht="15.5" hidden="1" outlineLevel="2" x14ac:dyDescent="0.35">
      <c r="A109" s="72" t="s">
        <v>102</v>
      </c>
      <c r="B109" s="38"/>
      <c r="C109" s="38">
        <v>0</v>
      </c>
      <c r="D109" s="38">
        <v>0</v>
      </c>
      <c r="E109" s="68">
        <v>0</v>
      </c>
      <c r="F109" s="236">
        <f t="shared" si="4"/>
        <v>0</v>
      </c>
    </row>
    <row r="110" spans="1:10" ht="15" hidden="1" outlineLevel="2" thickBot="1" x14ac:dyDescent="0.4">
      <c r="A110" s="427" t="s">
        <v>218</v>
      </c>
      <c r="B110" s="428"/>
      <c r="C110" s="428"/>
      <c r="D110" s="428"/>
      <c r="E110" s="429"/>
      <c r="F110" s="237">
        <f>SUM(F99:F109)</f>
        <v>72000</v>
      </c>
    </row>
    <row r="111" spans="1:10" outlineLevel="1" x14ac:dyDescent="0.35">
      <c r="I111"/>
      <c r="J111"/>
    </row>
    <row r="112" spans="1:10" ht="18.5" outlineLevel="1" collapsed="1" x14ac:dyDescent="0.45">
      <c r="A112" s="183" t="s">
        <v>54</v>
      </c>
      <c r="B112" s="183"/>
      <c r="C112" s="183"/>
      <c r="D112" s="183"/>
      <c r="E112" s="184">
        <f>F136</f>
        <v>7000</v>
      </c>
    </row>
    <row r="113" spans="1:6" hidden="1" outlineLevel="2" x14ac:dyDescent="0.35">
      <c r="A113" s="430" t="s">
        <v>212</v>
      </c>
      <c r="B113" s="430" t="s">
        <v>213</v>
      </c>
      <c r="C113" s="432" t="s">
        <v>233</v>
      </c>
      <c r="D113" s="419" t="s">
        <v>117</v>
      </c>
      <c r="E113" s="434"/>
      <c r="F113" s="420"/>
    </row>
    <row r="114" spans="1:6" hidden="1" outlineLevel="2" x14ac:dyDescent="0.35">
      <c r="A114" s="431"/>
      <c r="B114" s="431"/>
      <c r="C114" s="433"/>
      <c r="D114" s="37" t="s">
        <v>230</v>
      </c>
      <c r="E114" s="93" t="s">
        <v>231</v>
      </c>
      <c r="F114" s="37" t="s">
        <v>216</v>
      </c>
    </row>
    <row r="115" spans="1:6" ht="15.5" hidden="1" outlineLevel="2" x14ac:dyDescent="0.35">
      <c r="A115" s="71" t="s">
        <v>103</v>
      </c>
      <c r="B115" s="71"/>
      <c r="C115" s="71"/>
      <c r="D115" s="71"/>
      <c r="E115" s="71"/>
      <c r="F115" s="98"/>
    </row>
    <row r="116" spans="1:6" ht="15.5" hidden="1" outlineLevel="2" x14ac:dyDescent="0.35">
      <c r="A116" s="72" t="s">
        <v>104</v>
      </c>
      <c r="B116" s="92"/>
      <c r="C116" s="92">
        <v>2000</v>
      </c>
      <c r="D116" s="38">
        <v>1</v>
      </c>
      <c r="E116" s="68">
        <v>1</v>
      </c>
      <c r="F116" s="236">
        <f>IF(C116&lt;&gt;"",C116*D116*E116,"-")</f>
        <v>2000</v>
      </c>
    </row>
    <row r="117" spans="1:6" ht="15.5" hidden="1" outlineLevel="2" x14ac:dyDescent="0.35">
      <c r="A117" s="72" t="s">
        <v>105</v>
      </c>
      <c r="B117" s="95"/>
      <c r="C117" s="38">
        <v>5000</v>
      </c>
      <c r="D117" s="38">
        <v>1</v>
      </c>
      <c r="E117" s="68">
        <v>1</v>
      </c>
      <c r="F117" s="236">
        <f t="shared" ref="F117:F135" si="5">IF(C117&lt;&gt;"",C117*D117*E117,"-")</f>
        <v>5000</v>
      </c>
    </row>
    <row r="118" spans="1:6" ht="15.5" hidden="1" outlineLevel="2" x14ac:dyDescent="0.35">
      <c r="A118" s="72" t="s">
        <v>234</v>
      </c>
      <c r="B118" s="95"/>
      <c r="C118" s="38"/>
      <c r="D118" s="38"/>
      <c r="E118" s="68"/>
      <c r="F118" s="236" t="str">
        <f t="shared" si="5"/>
        <v>-</v>
      </c>
    </row>
    <row r="119" spans="1:6" ht="15.5" hidden="1" outlineLevel="2" x14ac:dyDescent="0.35">
      <c r="A119" s="72"/>
      <c r="B119" s="95"/>
      <c r="C119" s="38"/>
      <c r="D119" s="38"/>
      <c r="E119" s="68"/>
      <c r="F119" s="236" t="str">
        <f t="shared" si="5"/>
        <v>-</v>
      </c>
    </row>
    <row r="120" spans="1:6" ht="15.5" hidden="1" outlineLevel="2" x14ac:dyDescent="0.35">
      <c r="A120" s="72"/>
      <c r="B120" s="95"/>
      <c r="C120" s="38"/>
      <c r="D120" s="38"/>
      <c r="E120" s="68"/>
      <c r="F120" s="236" t="str">
        <f t="shared" si="5"/>
        <v>-</v>
      </c>
    </row>
    <row r="121" spans="1:6" ht="15.5" hidden="1" outlineLevel="2" x14ac:dyDescent="0.35">
      <c r="A121" s="72"/>
      <c r="B121" s="95"/>
      <c r="C121" s="38"/>
      <c r="D121" s="38"/>
      <c r="E121" s="68"/>
      <c r="F121" s="236" t="str">
        <f t="shared" si="5"/>
        <v>-</v>
      </c>
    </row>
    <row r="122" spans="1:6" ht="15.5" hidden="1" outlineLevel="2" x14ac:dyDescent="0.35">
      <c r="A122" s="72"/>
      <c r="B122" s="95"/>
      <c r="C122" s="38"/>
      <c r="D122" s="38"/>
      <c r="E122" s="68"/>
      <c r="F122" s="236" t="str">
        <f t="shared" si="5"/>
        <v>-</v>
      </c>
    </row>
    <row r="123" spans="1:6" ht="15.5" hidden="1" outlineLevel="2" x14ac:dyDescent="0.35">
      <c r="A123" s="72"/>
      <c r="B123" s="95"/>
      <c r="C123" s="38"/>
      <c r="D123" s="38"/>
      <c r="E123" s="68"/>
      <c r="F123" s="236" t="str">
        <f t="shared" si="5"/>
        <v>-</v>
      </c>
    </row>
    <row r="124" spans="1:6" ht="15.5" hidden="1" outlineLevel="2" x14ac:dyDescent="0.35">
      <c r="A124" s="72"/>
      <c r="B124" s="95"/>
      <c r="C124" s="38"/>
      <c r="D124" s="38"/>
      <c r="E124" s="68"/>
      <c r="F124" s="236" t="str">
        <f t="shared" si="5"/>
        <v>-</v>
      </c>
    </row>
    <row r="125" spans="1:6" ht="15.5" hidden="1" outlineLevel="2" x14ac:dyDescent="0.35">
      <c r="A125" s="72"/>
      <c r="B125" s="95"/>
      <c r="C125" s="38"/>
      <c r="D125" s="38"/>
      <c r="E125" s="68"/>
      <c r="F125" s="236" t="str">
        <f t="shared" si="5"/>
        <v>-</v>
      </c>
    </row>
    <row r="126" spans="1:6" ht="15.5" hidden="1" outlineLevel="2" x14ac:dyDescent="0.35">
      <c r="A126" s="72"/>
      <c r="B126" s="95"/>
      <c r="C126" s="38"/>
      <c r="D126" s="38"/>
      <c r="E126" s="68"/>
      <c r="F126" s="236" t="str">
        <f t="shared" si="5"/>
        <v>-</v>
      </c>
    </row>
    <row r="127" spans="1:6" ht="15.5" hidden="1" outlineLevel="2" x14ac:dyDescent="0.35">
      <c r="A127" s="72"/>
      <c r="B127" s="95"/>
      <c r="C127" s="38"/>
      <c r="D127" s="38"/>
      <c r="E127" s="68"/>
      <c r="F127" s="236" t="str">
        <f t="shared" si="5"/>
        <v>-</v>
      </c>
    </row>
    <row r="128" spans="1:6" ht="15.5" hidden="1" outlineLevel="2" x14ac:dyDescent="0.35">
      <c r="A128" s="72"/>
      <c r="B128" s="95"/>
      <c r="C128" s="38"/>
      <c r="D128" s="38"/>
      <c r="E128" s="68"/>
      <c r="F128" s="236" t="str">
        <f t="shared" si="5"/>
        <v>-</v>
      </c>
    </row>
    <row r="129" spans="1:19" ht="15.5" hidden="1" outlineLevel="2" x14ac:dyDescent="0.35">
      <c r="A129" s="72"/>
      <c r="B129" s="95"/>
      <c r="C129" s="38"/>
      <c r="D129" s="38"/>
      <c r="E129" s="68"/>
      <c r="F129" s="236" t="str">
        <f t="shared" si="5"/>
        <v>-</v>
      </c>
    </row>
    <row r="130" spans="1:19" ht="15.5" hidden="1" outlineLevel="2" x14ac:dyDescent="0.35">
      <c r="A130" s="72"/>
      <c r="B130" s="95"/>
      <c r="C130" s="38"/>
      <c r="D130" s="38"/>
      <c r="E130" s="68"/>
      <c r="F130" s="236" t="str">
        <f t="shared" si="5"/>
        <v>-</v>
      </c>
    </row>
    <row r="131" spans="1:19" ht="15.5" hidden="1" outlineLevel="2" x14ac:dyDescent="0.35">
      <c r="A131" s="72"/>
      <c r="B131" s="95"/>
      <c r="C131" s="38"/>
      <c r="D131" s="38"/>
      <c r="E131" s="68"/>
      <c r="F131" s="236" t="str">
        <f t="shared" si="5"/>
        <v>-</v>
      </c>
    </row>
    <row r="132" spans="1:19" ht="15.5" hidden="1" outlineLevel="2" x14ac:dyDescent="0.35">
      <c r="A132" s="72" t="s">
        <v>106</v>
      </c>
      <c r="B132" s="38"/>
      <c r="C132" s="38">
        <v>0</v>
      </c>
      <c r="D132" s="38">
        <v>0</v>
      </c>
      <c r="E132" s="68">
        <v>0</v>
      </c>
      <c r="F132" s="236">
        <f t="shared" si="5"/>
        <v>0</v>
      </c>
    </row>
    <row r="133" spans="1:19" ht="15.5" hidden="1" outlineLevel="2" x14ac:dyDescent="0.35">
      <c r="A133" s="72" t="s">
        <v>107</v>
      </c>
      <c r="B133" s="38"/>
      <c r="C133" s="38">
        <v>0</v>
      </c>
      <c r="D133" s="38">
        <v>0</v>
      </c>
      <c r="E133" s="68">
        <v>0</v>
      </c>
      <c r="F133" s="236">
        <f t="shared" si="5"/>
        <v>0</v>
      </c>
    </row>
    <row r="134" spans="1:19" ht="15.5" hidden="1" outlineLevel="2" x14ac:dyDescent="0.35">
      <c r="A134" s="72" t="s">
        <v>108</v>
      </c>
      <c r="B134" s="38"/>
      <c r="C134" s="38">
        <v>0</v>
      </c>
      <c r="D134" s="38">
        <v>0</v>
      </c>
      <c r="E134" s="68">
        <v>0</v>
      </c>
      <c r="F134" s="236">
        <f t="shared" si="5"/>
        <v>0</v>
      </c>
    </row>
    <row r="135" spans="1:19" ht="15.5" hidden="1" outlineLevel="2" x14ac:dyDescent="0.35">
      <c r="A135" s="72" t="s">
        <v>109</v>
      </c>
      <c r="B135" s="38"/>
      <c r="C135" s="38">
        <v>0</v>
      </c>
      <c r="D135" s="38">
        <v>0</v>
      </c>
      <c r="E135" s="68">
        <v>0</v>
      </c>
      <c r="F135" s="236">
        <f t="shared" si="5"/>
        <v>0</v>
      </c>
    </row>
    <row r="136" spans="1:19" ht="15" hidden="1" outlineLevel="2" thickBot="1" x14ac:dyDescent="0.4">
      <c r="A136" s="427" t="s">
        <v>218</v>
      </c>
      <c r="B136" s="428"/>
      <c r="C136" s="428"/>
      <c r="D136" s="428"/>
      <c r="E136" s="429"/>
      <c r="F136" s="237">
        <f>SUM(F116:F135)</f>
        <v>7000</v>
      </c>
    </row>
    <row r="137" spans="1:19" outlineLevel="1" x14ac:dyDescent="0.35">
      <c r="I137"/>
      <c r="J137"/>
    </row>
    <row r="138" spans="1:19" ht="18.5" outlineLevel="1" x14ac:dyDescent="0.45">
      <c r="A138" s="183" t="s">
        <v>235</v>
      </c>
      <c r="B138" s="183"/>
      <c r="C138" s="183"/>
      <c r="D138" s="183"/>
      <c r="E138" s="184">
        <f>Assumptions!C5</f>
        <v>450018.75</v>
      </c>
    </row>
    <row r="140" spans="1:19" s="287" customFormat="1" ht="20" customHeight="1" x14ac:dyDescent="0.35">
      <c r="A140" s="388" t="s">
        <v>59</v>
      </c>
      <c r="B140" s="388"/>
      <c r="C140" s="388"/>
      <c r="D140" s="388"/>
      <c r="E140" s="384">
        <f>E142</f>
        <v>669985</v>
      </c>
      <c r="F140" s="296"/>
      <c r="G140" s="296"/>
      <c r="H140" s="296"/>
      <c r="I140" s="296"/>
      <c r="J140" s="296"/>
      <c r="K140" s="296"/>
    </row>
    <row r="141" spans="1:19" outlineLevel="1" x14ac:dyDescent="0.35">
      <c r="I141"/>
      <c r="J141"/>
    </row>
    <row r="142" spans="1:19" ht="32.25" customHeight="1" outlineLevel="1" x14ac:dyDescent="0.45">
      <c r="A142" s="400" t="s">
        <v>236</v>
      </c>
      <c r="B142" s="400"/>
      <c r="C142" s="400"/>
      <c r="D142" s="400"/>
      <c r="E142" s="352">
        <f>E197</f>
        <v>669985</v>
      </c>
      <c r="I142"/>
      <c r="J142"/>
    </row>
    <row r="143" spans="1:19" outlineLevel="2" x14ac:dyDescent="0.35">
      <c r="A143" s="425" t="s">
        <v>237</v>
      </c>
      <c r="B143" s="425" t="s">
        <v>238</v>
      </c>
      <c r="C143" s="425" t="s">
        <v>239</v>
      </c>
      <c r="D143" s="425" t="s">
        <v>240</v>
      </c>
      <c r="E143" s="425" t="s">
        <v>158</v>
      </c>
      <c r="F143" s="419" t="s">
        <v>117</v>
      </c>
      <c r="G143" s="420"/>
      <c r="H143" s="419" t="s">
        <v>118</v>
      </c>
      <c r="I143" s="420"/>
      <c r="J143" s="419" t="s">
        <v>119</v>
      </c>
      <c r="K143" s="420"/>
      <c r="L143" s="419" t="s">
        <v>120</v>
      </c>
      <c r="M143" s="420"/>
      <c r="N143" s="419" t="s">
        <v>121</v>
      </c>
      <c r="O143" s="420"/>
      <c r="P143" s="419" t="s">
        <v>122</v>
      </c>
      <c r="Q143" s="420"/>
      <c r="R143" s="421" t="s">
        <v>241</v>
      </c>
      <c r="S143" s="422"/>
    </row>
    <row r="144" spans="1:19" outlineLevel="2" x14ac:dyDescent="0.35">
      <c r="A144" s="426"/>
      <c r="B144" s="426"/>
      <c r="C144" s="426"/>
      <c r="D144" s="426"/>
      <c r="E144" s="426"/>
      <c r="F144" s="66" t="s">
        <v>168</v>
      </c>
      <c r="G144" s="66" t="s">
        <v>242</v>
      </c>
      <c r="H144" s="66" t="s">
        <v>168</v>
      </c>
      <c r="I144" s="66" t="s">
        <v>242</v>
      </c>
      <c r="J144" s="66" t="s">
        <v>168</v>
      </c>
      <c r="K144" s="66" t="s">
        <v>242</v>
      </c>
      <c r="L144" s="66" t="s">
        <v>168</v>
      </c>
      <c r="M144" s="66" t="s">
        <v>242</v>
      </c>
      <c r="N144" s="66" t="s">
        <v>168</v>
      </c>
      <c r="O144" s="66" t="s">
        <v>242</v>
      </c>
      <c r="P144" s="65" t="s">
        <v>168</v>
      </c>
      <c r="Q144" s="65" t="s">
        <v>242</v>
      </c>
      <c r="R144" s="423"/>
      <c r="S144" s="424"/>
    </row>
    <row r="145" spans="1:19" ht="18.5" outlineLevel="2" collapsed="1" x14ac:dyDescent="0.45">
      <c r="A145" s="186" t="s">
        <v>243</v>
      </c>
      <c r="B145" s="187"/>
      <c r="C145" s="187"/>
      <c r="D145" s="187"/>
      <c r="E145" s="189">
        <f>S169</f>
        <v>615</v>
      </c>
      <c r="F145" s="187"/>
      <c r="G145" s="187"/>
      <c r="H145" s="187"/>
      <c r="I145" s="187"/>
      <c r="J145" s="187"/>
      <c r="K145" s="187"/>
      <c r="L145" s="187"/>
      <c r="M145" s="187"/>
      <c r="N145" s="187"/>
      <c r="O145" s="187"/>
      <c r="P145" s="187"/>
      <c r="Q145" s="187"/>
      <c r="R145" s="187"/>
      <c r="S145" s="188"/>
    </row>
    <row r="146" spans="1:19" hidden="1" outlineLevel="3" x14ac:dyDescent="0.35">
      <c r="A146" s="165" t="s">
        <v>244</v>
      </c>
      <c r="B146" s="168" t="s">
        <v>203</v>
      </c>
      <c r="C146" s="168" t="s">
        <v>204</v>
      </c>
      <c r="D146" s="169" t="s">
        <v>172</v>
      </c>
      <c r="E146" s="242">
        <f>VLOOKUP(C146,Lists!$Q$5:$U$43, MATCH(D146,Lists!$Q$4:$U$4,0),0)</f>
        <v>1800</v>
      </c>
      <c r="F146" s="170">
        <v>0</v>
      </c>
      <c r="G146" s="243">
        <f>F146*E146</f>
        <v>0</v>
      </c>
      <c r="H146" s="170">
        <v>0</v>
      </c>
      <c r="I146" s="242">
        <f>H146*E146</f>
        <v>0</v>
      </c>
      <c r="J146" s="170">
        <v>0</v>
      </c>
      <c r="K146" s="242">
        <f>J146*E146</f>
        <v>0</v>
      </c>
      <c r="L146" s="170">
        <v>0</v>
      </c>
      <c r="M146" s="242">
        <f>L146*E146</f>
        <v>0</v>
      </c>
      <c r="N146" s="170">
        <v>0</v>
      </c>
      <c r="O146" s="242">
        <f>N146*E146</f>
        <v>0</v>
      </c>
      <c r="P146" s="170">
        <v>0</v>
      </c>
      <c r="Q146" s="246">
        <f>P146*E146</f>
        <v>0</v>
      </c>
      <c r="R146" s="252">
        <f>SUM(F146+H146+J146+L146+N146+P146)</f>
        <v>0</v>
      </c>
      <c r="S146" s="253">
        <f t="shared" ref="S146:S168" si="6">R146*E146</f>
        <v>0</v>
      </c>
    </row>
    <row r="147" spans="1:19" hidden="1" outlineLevel="3" x14ac:dyDescent="0.35">
      <c r="A147" s="165" t="s">
        <v>245</v>
      </c>
      <c r="B147" s="168" t="s">
        <v>246</v>
      </c>
      <c r="C147" s="168" t="s">
        <v>247</v>
      </c>
      <c r="D147" s="169" t="s">
        <v>172</v>
      </c>
      <c r="E147" s="242">
        <f>VLOOKUP(C147,Lists!$Q$5:$U$43, MATCH(D147,Lists!$Q$4:$U$4,0),0)</f>
        <v>2000</v>
      </c>
      <c r="F147" s="170">
        <v>0</v>
      </c>
      <c r="G147" s="243">
        <f t="shared" ref="G147:G168" si="7">F147*E147</f>
        <v>0</v>
      </c>
      <c r="H147" s="170">
        <v>0</v>
      </c>
      <c r="I147" s="242">
        <f t="shared" ref="I147:I168" si="8">H147*E147</f>
        <v>0</v>
      </c>
      <c r="J147" s="170">
        <v>0</v>
      </c>
      <c r="K147" s="242">
        <f t="shared" ref="K147:K168" si="9">J147*E147</f>
        <v>0</v>
      </c>
      <c r="L147" s="170">
        <v>0</v>
      </c>
      <c r="M147" s="242">
        <f t="shared" ref="M147:M168" si="10">L147*E147</f>
        <v>0</v>
      </c>
      <c r="N147" s="170">
        <v>0</v>
      </c>
      <c r="O147" s="242">
        <f t="shared" ref="O147:O168" si="11">N147*E147</f>
        <v>0</v>
      </c>
      <c r="P147" s="170">
        <v>0</v>
      </c>
      <c r="Q147" s="246">
        <f t="shared" ref="Q147:Q168" si="12">P147*E147</f>
        <v>0</v>
      </c>
      <c r="R147" s="252">
        <f t="shared" ref="R147:R168" si="13">SUM(F147+H147+J147+L147+N147+P147)</f>
        <v>0</v>
      </c>
      <c r="S147" s="254">
        <f t="shared" si="6"/>
        <v>0</v>
      </c>
    </row>
    <row r="148" spans="1:19" hidden="1" outlineLevel="3" x14ac:dyDescent="0.35">
      <c r="A148" s="165" t="s">
        <v>248</v>
      </c>
      <c r="B148" s="168" t="s">
        <v>187</v>
      </c>
      <c r="C148" s="168" t="s">
        <v>249</v>
      </c>
      <c r="D148" s="169" t="s">
        <v>189</v>
      </c>
      <c r="E148" s="242">
        <f>VLOOKUP(C148,Lists!$Q$5:$U$43, MATCH(D148,Lists!$Q$4:$U$4,0),0)</f>
        <v>1850</v>
      </c>
      <c r="F148" s="170">
        <v>0</v>
      </c>
      <c r="G148" s="243">
        <f t="shared" si="7"/>
        <v>0</v>
      </c>
      <c r="H148" s="170">
        <v>0</v>
      </c>
      <c r="I148" s="242">
        <f t="shared" si="8"/>
        <v>0</v>
      </c>
      <c r="J148" s="170">
        <v>0</v>
      </c>
      <c r="K148" s="242">
        <f t="shared" si="9"/>
        <v>0</v>
      </c>
      <c r="L148" s="170">
        <v>0</v>
      </c>
      <c r="M148" s="242">
        <f t="shared" si="10"/>
        <v>0</v>
      </c>
      <c r="N148" s="170">
        <v>0</v>
      </c>
      <c r="O148" s="242">
        <f t="shared" si="11"/>
        <v>0</v>
      </c>
      <c r="P148" s="170">
        <v>0</v>
      </c>
      <c r="Q148" s="246">
        <f t="shared" si="12"/>
        <v>0</v>
      </c>
      <c r="R148" s="252">
        <f t="shared" si="13"/>
        <v>0</v>
      </c>
      <c r="S148" s="254">
        <f t="shared" si="6"/>
        <v>0</v>
      </c>
    </row>
    <row r="149" spans="1:19" hidden="1" outlineLevel="3" x14ac:dyDescent="0.35">
      <c r="A149" s="165"/>
      <c r="B149" s="168" t="s">
        <v>200</v>
      </c>
      <c r="C149" s="168" t="s">
        <v>250</v>
      </c>
      <c r="D149" s="169" t="s">
        <v>172</v>
      </c>
      <c r="E149" s="242">
        <f>VLOOKUP(C149,Lists!$Q$5:$U$43, MATCH(D149,Lists!$Q$4:$U$4,0),0)</f>
        <v>1800</v>
      </c>
      <c r="F149" s="170">
        <v>0</v>
      </c>
      <c r="G149" s="243">
        <f t="shared" si="7"/>
        <v>0</v>
      </c>
      <c r="H149" s="170">
        <v>0</v>
      </c>
      <c r="I149" s="242">
        <f t="shared" si="8"/>
        <v>0</v>
      </c>
      <c r="J149" s="170">
        <v>0</v>
      </c>
      <c r="K149" s="242">
        <f t="shared" si="9"/>
        <v>0</v>
      </c>
      <c r="L149" s="170">
        <v>0</v>
      </c>
      <c r="M149" s="242">
        <f t="shared" si="10"/>
        <v>0</v>
      </c>
      <c r="N149" s="170">
        <v>0</v>
      </c>
      <c r="O149" s="242">
        <f t="shared" si="11"/>
        <v>0</v>
      </c>
      <c r="P149" s="170">
        <v>0</v>
      </c>
      <c r="Q149" s="246">
        <f t="shared" si="12"/>
        <v>0</v>
      </c>
      <c r="R149" s="252">
        <f t="shared" si="13"/>
        <v>0</v>
      </c>
      <c r="S149" s="254">
        <f t="shared" si="6"/>
        <v>0</v>
      </c>
    </row>
    <row r="150" spans="1:19" hidden="1" outlineLevel="3" x14ac:dyDescent="0.35">
      <c r="A150" s="165" t="s">
        <v>251</v>
      </c>
      <c r="B150" s="168" t="s">
        <v>200</v>
      </c>
      <c r="C150" s="168" t="s">
        <v>252</v>
      </c>
      <c r="D150" s="169" t="s">
        <v>189</v>
      </c>
      <c r="E150" s="242">
        <f>VLOOKUP(C150,Lists!$Q$5:$U$43, MATCH(D150,Lists!$Q$4:$U$4,0),0)</f>
        <v>1400</v>
      </c>
      <c r="F150" s="170">
        <v>0</v>
      </c>
      <c r="G150" s="243">
        <f t="shared" si="7"/>
        <v>0</v>
      </c>
      <c r="H150" s="170">
        <v>0</v>
      </c>
      <c r="I150" s="242">
        <f t="shared" si="8"/>
        <v>0</v>
      </c>
      <c r="J150" s="170">
        <v>0</v>
      </c>
      <c r="K150" s="242">
        <f t="shared" si="9"/>
        <v>0</v>
      </c>
      <c r="L150" s="170">
        <v>0</v>
      </c>
      <c r="M150" s="242">
        <f t="shared" si="10"/>
        <v>0</v>
      </c>
      <c r="N150" s="170">
        <v>0</v>
      </c>
      <c r="O150" s="242">
        <f t="shared" si="11"/>
        <v>0</v>
      </c>
      <c r="P150" s="170">
        <v>0</v>
      </c>
      <c r="Q150" s="246">
        <f t="shared" si="12"/>
        <v>0</v>
      </c>
      <c r="R150" s="252">
        <f t="shared" si="13"/>
        <v>0</v>
      </c>
      <c r="S150" s="254">
        <f t="shared" si="6"/>
        <v>0</v>
      </c>
    </row>
    <row r="151" spans="1:19" hidden="1" outlineLevel="3" x14ac:dyDescent="0.35">
      <c r="A151" s="165"/>
      <c r="B151" s="168" t="s">
        <v>187</v>
      </c>
      <c r="C151" s="168" t="s">
        <v>185</v>
      </c>
      <c r="D151" s="169" t="s">
        <v>180</v>
      </c>
      <c r="E151" s="242">
        <f>VLOOKUP(C151,Lists!$Q$5:$U$43, MATCH(D151,Lists!$Q$4:$U$4,0),0)</f>
        <v>615</v>
      </c>
      <c r="F151" s="170">
        <v>0</v>
      </c>
      <c r="G151" s="243">
        <f t="shared" si="7"/>
        <v>0</v>
      </c>
      <c r="H151" s="170">
        <v>0</v>
      </c>
      <c r="I151" s="242">
        <f t="shared" si="8"/>
        <v>0</v>
      </c>
      <c r="J151" s="170">
        <v>0</v>
      </c>
      <c r="K151" s="242">
        <f t="shared" si="9"/>
        <v>0</v>
      </c>
      <c r="L151" s="170">
        <v>0</v>
      </c>
      <c r="M151" s="242">
        <f t="shared" si="10"/>
        <v>0</v>
      </c>
      <c r="N151" s="170">
        <v>0</v>
      </c>
      <c r="O151" s="242">
        <f t="shared" si="11"/>
        <v>0</v>
      </c>
      <c r="P151" s="170">
        <v>0</v>
      </c>
      <c r="Q151" s="246">
        <f t="shared" si="12"/>
        <v>0</v>
      </c>
      <c r="R151" s="252">
        <f t="shared" si="13"/>
        <v>0</v>
      </c>
      <c r="S151" s="254">
        <f t="shared" si="6"/>
        <v>0</v>
      </c>
    </row>
    <row r="152" spans="1:19" hidden="1" outlineLevel="3" x14ac:dyDescent="0.35">
      <c r="A152" s="165" t="s">
        <v>253</v>
      </c>
      <c r="B152" s="168" t="s">
        <v>170</v>
      </c>
      <c r="C152" s="168" t="s">
        <v>171</v>
      </c>
      <c r="D152" s="169" t="s">
        <v>180</v>
      </c>
      <c r="E152" s="242">
        <f>VLOOKUP(C152,Lists!$Q$5:$U$43, MATCH(D152,Lists!$Q$4:$U$4,0),0)</f>
        <v>615</v>
      </c>
      <c r="F152" s="170">
        <v>0</v>
      </c>
      <c r="G152" s="243">
        <f t="shared" si="7"/>
        <v>0</v>
      </c>
      <c r="H152" s="170">
        <v>0</v>
      </c>
      <c r="I152" s="242">
        <f t="shared" si="8"/>
        <v>0</v>
      </c>
      <c r="J152" s="170">
        <v>0</v>
      </c>
      <c r="K152" s="242">
        <f t="shared" si="9"/>
        <v>0</v>
      </c>
      <c r="L152" s="170">
        <v>0</v>
      </c>
      <c r="M152" s="242">
        <f t="shared" si="10"/>
        <v>0</v>
      </c>
      <c r="N152" s="170">
        <v>0</v>
      </c>
      <c r="O152" s="242">
        <f t="shared" si="11"/>
        <v>0</v>
      </c>
      <c r="P152" s="170">
        <v>0</v>
      </c>
      <c r="Q152" s="246">
        <f t="shared" si="12"/>
        <v>0</v>
      </c>
      <c r="R152" s="252">
        <f t="shared" si="13"/>
        <v>0</v>
      </c>
      <c r="S152" s="254">
        <f t="shared" si="6"/>
        <v>0</v>
      </c>
    </row>
    <row r="153" spans="1:19" hidden="1" outlineLevel="3" x14ac:dyDescent="0.35">
      <c r="A153" s="165"/>
      <c r="B153" s="168" t="s">
        <v>187</v>
      </c>
      <c r="C153" s="168" t="s">
        <v>185</v>
      </c>
      <c r="D153" s="169" t="s">
        <v>180</v>
      </c>
      <c r="E153" s="242">
        <f>VLOOKUP(C153,Lists!$Q$5:$U$43, MATCH(D153,Lists!$Q$4:$U$4,0),0)</f>
        <v>615</v>
      </c>
      <c r="F153" s="170">
        <v>1</v>
      </c>
      <c r="G153" s="243">
        <f t="shared" si="7"/>
        <v>615</v>
      </c>
      <c r="H153" s="170">
        <v>0</v>
      </c>
      <c r="I153" s="242">
        <f t="shared" si="8"/>
        <v>0</v>
      </c>
      <c r="J153" s="170">
        <v>0</v>
      </c>
      <c r="K153" s="242">
        <f t="shared" si="9"/>
        <v>0</v>
      </c>
      <c r="L153" s="170">
        <v>0</v>
      </c>
      <c r="M153" s="242">
        <f t="shared" si="10"/>
        <v>0</v>
      </c>
      <c r="N153" s="170">
        <v>0</v>
      </c>
      <c r="O153" s="242">
        <f t="shared" si="11"/>
        <v>0</v>
      </c>
      <c r="P153" s="170">
        <v>0</v>
      </c>
      <c r="Q153" s="246">
        <f t="shared" si="12"/>
        <v>0</v>
      </c>
      <c r="R153" s="252">
        <f t="shared" si="13"/>
        <v>1</v>
      </c>
      <c r="S153" s="254">
        <f t="shared" si="6"/>
        <v>615</v>
      </c>
    </row>
    <row r="154" spans="1:19" hidden="1" outlineLevel="3" x14ac:dyDescent="0.35">
      <c r="A154" s="165"/>
      <c r="B154" s="168" t="s">
        <v>187</v>
      </c>
      <c r="C154" s="168" t="s">
        <v>185</v>
      </c>
      <c r="D154" s="169" t="s">
        <v>180</v>
      </c>
      <c r="E154" s="242">
        <f>VLOOKUP(C154,Lists!$Q$5:$U$43, MATCH(D154,Lists!$Q$4:$U$4,0),0)</f>
        <v>615</v>
      </c>
      <c r="F154" s="170">
        <v>0</v>
      </c>
      <c r="G154" s="243">
        <f t="shared" si="7"/>
        <v>0</v>
      </c>
      <c r="H154" s="170">
        <v>0</v>
      </c>
      <c r="I154" s="242">
        <f t="shared" si="8"/>
        <v>0</v>
      </c>
      <c r="J154" s="170">
        <v>0</v>
      </c>
      <c r="K154" s="242">
        <f t="shared" si="9"/>
        <v>0</v>
      </c>
      <c r="L154" s="170">
        <v>0</v>
      </c>
      <c r="M154" s="242">
        <f t="shared" si="10"/>
        <v>0</v>
      </c>
      <c r="N154" s="170">
        <v>0</v>
      </c>
      <c r="O154" s="242">
        <f t="shared" si="11"/>
        <v>0</v>
      </c>
      <c r="P154" s="170">
        <v>0</v>
      </c>
      <c r="Q154" s="246">
        <f t="shared" si="12"/>
        <v>0</v>
      </c>
      <c r="R154" s="252">
        <f t="shared" si="13"/>
        <v>0</v>
      </c>
      <c r="S154" s="254">
        <f t="shared" si="6"/>
        <v>0</v>
      </c>
    </row>
    <row r="155" spans="1:19" hidden="1" outlineLevel="3" x14ac:dyDescent="0.35">
      <c r="A155" s="165"/>
      <c r="B155" s="168" t="s">
        <v>198</v>
      </c>
      <c r="C155" s="168" t="s">
        <v>199</v>
      </c>
      <c r="D155" s="169" t="s">
        <v>172</v>
      </c>
      <c r="E155" s="242">
        <f>VLOOKUP(C155,Lists!$Q$5:$U$43, MATCH(D155,Lists!$Q$4:$U$4,0),0)</f>
        <v>2400</v>
      </c>
      <c r="F155" s="170">
        <v>0</v>
      </c>
      <c r="G155" s="243">
        <f t="shared" si="7"/>
        <v>0</v>
      </c>
      <c r="H155" s="170">
        <v>0</v>
      </c>
      <c r="I155" s="242">
        <f t="shared" si="8"/>
        <v>0</v>
      </c>
      <c r="J155" s="170">
        <v>0</v>
      </c>
      <c r="K155" s="242">
        <f t="shared" si="9"/>
        <v>0</v>
      </c>
      <c r="L155" s="170">
        <v>0</v>
      </c>
      <c r="M155" s="242">
        <f t="shared" si="10"/>
        <v>0</v>
      </c>
      <c r="N155" s="170">
        <v>0</v>
      </c>
      <c r="O155" s="242">
        <f t="shared" si="11"/>
        <v>0</v>
      </c>
      <c r="P155" s="170">
        <v>0</v>
      </c>
      <c r="Q155" s="246">
        <f t="shared" si="12"/>
        <v>0</v>
      </c>
      <c r="R155" s="252">
        <f t="shared" si="13"/>
        <v>0</v>
      </c>
      <c r="S155" s="254">
        <f t="shared" si="6"/>
        <v>0</v>
      </c>
    </row>
    <row r="156" spans="1:19" hidden="1" outlineLevel="3" x14ac:dyDescent="0.35">
      <c r="A156" s="165"/>
      <c r="B156" s="168" t="s">
        <v>187</v>
      </c>
      <c r="C156" s="168" t="s">
        <v>185</v>
      </c>
      <c r="D156" s="169" t="s">
        <v>254</v>
      </c>
      <c r="E156" s="242">
        <f>VLOOKUP(C156,Lists!$Q$5:$U$43, MATCH(D156,Lists!$Q$4:$U$4,0),0)</f>
        <v>1300</v>
      </c>
      <c r="F156" s="170">
        <v>0</v>
      </c>
      <c r="G156" s="243">
        <f t="shared" si="7"/>
        <v>0</v>
      </c>
      <c r="H156" s="170">
        <v>0</v>
      </c>
      <c r="I156" s="242">
        <f t="shared" si="8"/>
        <v>0</v>
      </c>
      <c r="J156" s="170">
        <v>0</v>
      </c>
      <c r="K156" s="242">
        <f t="shared" si="9"/>
        <v>0</v>
      </c>
      <c r="L156" s="170">
        <v>0</v>
      </c>
      <c r="M156" s="242">
        <f t="shared" si="10"/>
        <v>0</v>
      </c>
      <c r="N156" s="170">
        <v>0</v>
      </c>
      <c r="O156" s="242">
        <f t="shared" si="11"/>
        <v>0</v>
      </c>
      <c r="P156" s="170">
        <v>0</v>
      </c>
      <c r="Q156" s="246">
        <f t="shared" si="12"/>
        <v>0</v>
      </c>
      <c r="R156" s="252">
        <f t="shared" si="13"/>
        <v>0</v>
      </c>
      <c r="S156" s="254">
        <f t="shared" si="6"/>
        <v>0</v>
      </c>
    </row>
    <row r="157" spans="1:19" hidden="1" outlineLevel="3" x14ac:dyDescent="0.35">
      <c r="A157" s="165"/>
      <c r="B157" s="168" t="s">
        <v>187</v>
      </c>
      <c r="C157" s="168" t="s">
        <v>185</v>
      </c>
      <c r="D157" s="169" t="s">
        <v>180</v>
      </c>
      <c r="E157" s="242">
        <f>VLOOKUP(C157,Lists!$Q$5:$U$43, MATCH(D157,Lists!$Q$4:$U$4,0),0)</f>
        <v>615</v>
      </c>
      <c r="F157" s="170">
        <v>0</v>
      </c>
      <c r="G157" s="243">
        <f t="shared" si="7"/>
        <v>0</v>
      </c>
      <c r="H157" s="170">
        <v>0</v>
      </c>
      <c r="I157" s="242">
        <f t="shared" si="8"/>
        <v>0</v>
      </c>
      <c r="J157" s="170">
        <v>0</v>
      </c>
      <c r="K157" s="242">
        <f t="shared" si="9"/>
        <v>0</v>
      </c>
      <c r="L157" s="170">
        <v>0</v>
      </c>
      <c r="M157" s="242">
        <f t="shared" si="10"/>
        <v>0</v>
      </c>
      <c r="N157" s="170">
        <v>0</v>
      </c>
      <c r="O157" s="242">
        <f t="shared" si="11"/>
        <v>0</v>
      </c>
      <c r="P157" s="170">
        <v>0</v>
      </c>
      <c r="Q157" s="246">
        <f t="shared" si="12"/>
        <v>0</v>
      </c>
      <c r="R157" s="252">
        <f t="shared" si="13"/>
        <v>0</v>
      </c>
      <c r="S157" s="254">
        <f t="shared" si="6"/>
        <v>0</v>
      </c>
    </row>
    <row r="158" spans="1:19" hidden="1" outlineLevel="3" x14ac:dyDescent="0.35">
      <c r="A158" s="165"/>
      <c r="B158" s="168" t="s">
        <v>187</v>
      </c>
      <c r="C158" s="168" t="s">
        <v>185</v>
      </c>
      <c r="D158" s="169" t="s">
        <v>180</v>
      </c>
      <c r="E158" s="242">
        <f>VLOOKUP(C158,Lists!$Q$5:$U$43, MATCH(D158,Lists!$Q$4:$U$4,0),0)</f>
        <v>615</v>
      </c>
      <c r="F158" s="170">
        <v>0</v>
      </c>
      <c r="G158" s="243">
        <f t="shared" si="7"/>
        <v>0</v>
      </c>
      <c r="H158" s="170">
        <v>0</v>
      </c>
      <c r="I158" s="242">
        <f t="shared" si="8"/>
        <v>0</v>
      </c>
      <c r="J158" s="170">
        <v>0</v>
      </c>
      <c r="K158" s="242">
        <f t="shared" si="9"/>
        <v>0</v>
      </c>
      <c r="L158" s="170">
        <v>0</v>
      </c>
      <c r="M158" s="242">
        <f t="shared" si="10"/>
        <v>0</v>
      </c>
      <c r="N158" s="170">
        <v>0</v>
      </c>
      <c r="O158" s="242">
        <f t="shared" si="11"/>
        <v>0</v>
      </c>
      <c r="P158" s="170">
        <v>0</v>
      </c>
      <c r="Q158" s="246">
        <f t="shared" si="12"/>
        <v>0</v>
      </c>
      <c r="R158" s="252">
        <f t="shared" si="13"/>
        <v>0</v>
      </c>
      <c r="S158" s="254">
        <f t="shared" si="6"/>
        <v>0</v>
      </c>
    </row>
    <row r="159" spans="1:19" hidden="1" outlineLevel="3" x14ac:dyDescent="0.35">
      <c r="A159" s="165"/>
      <c r="B159" s="168" t="s">
        <v>187</v>
      </c>
      <c r="C159" s="168" t="s">
        <v>185</v>
      </c>
      <c r="D159" s="169" t="s">
        <v>180</v>
      </c>
      <c r="E159" s="242">
        <f>VLOOKUP(C159,Lists!$Q$5:$U$43, MATCH(D159,Lists!$Q$4:$U$4,0),0)</f>
        <v>615</v>
      </c>
      <c r="F159" s="170">
        <v>0</v>
      </c>
      <c r="G159" s="243">
        <f t="shared" si="7"/>
        <v>0</v>
      </c>
      <c r="H159" s="170">
        <v>0</v>
      </c>
      <c r="I159" s="242">
        <f t="shared" si="8"/>
        <v>0</v>
      </c>
      <c r="J159" s="170">
        <v>0</v>
      </c>
      <c r="K159" s="242">
        <f t="shared" si="9"/>
        <v>0</v>
      </c>
      <c r="L159" s="170">
        <v>0</v>
      </c>
      <c r="M159" s="242">
        <f t="shared" si="10"/>
        <v>0</v>
      </c>
      <c r="N159" s="170">
        <v>0</v>
      </c>
      <c r="O159" s="242">
        <f t="shared" si="11"/>
        <v>0</v>
      </c>
      <c r="P159" s="170">
        <v>0</v>
      </c>
      <c r="Q159" s="246">
        <f t="shared" si="12"/>
        <v>0</v>
      </c>
      <c r="R159" s="252">
        <f t="shared" si="13"/>
        <v>0</v>
      </c>
      <c r="S159" s="254">
        <f t="shared" si="6"/>
        <v>0</v>
      </c>
    </row>
    <row r="160" spans="1:19" hidden="1" outlineLevel="3" x14ac:dyDescent="0.35">
      <c r="A160" s="165"/>
      <c r="B160" s="168" t="s">
        <v>170</v>
      </c>
      <c r="C160" s="168" t="s">
        <v>255</v>
      </c>
      <c r="D160" s="169" t="s">
        <v>172</v>
      </c>
      <c r="E160" s="242">
        <f>VLOOKUP(C160,Lists!$Q$5:$U$43, MATCH(D160,Lists!$Q$4:$U$4,0),0)</f>
        <v>1800</v>
      </c>
      <c r="F160" s="170">
        <v>0</v>
      </c>
      <c r="G160" s="243">
        <f t="shared" si="7"/>
        <v>0</v>
      </c>
      <c r="H160" s="170">
        <v>0</v>
      </c>
      <c r="I160" s="242">
        <f t="shared" si="8"/>
        <v>0</v>
      </c>
      <c r="J160" s="170">
        <v>0</v>
      </c>
      <c r="K160" s="242">
        <f t="shared" si="9"/>
        <v>0</v>
      </c>
      <c r="L160" s="170">
        <v>0</v>
      </c>
      <c r="M160" s="242">
        <f t="shared" si="10"/>
        <v>0</v>
      </c>
      <c r="N160" s="170">
        <v>0</v>
      </c>
      <c r="O160" s="242">
        <f t="shared" si="11"/>
        <v>0</v>
      </c>
      <c r="P160" s="170">
        <v>0</v>
      </c>
      <c r="Q160" s="246">
        <f t="shared" si="12"/>
        <v>0</v>
      </c>
      <c r="R160" s="252">
        <f t="shared" si="13"/>
        <v>0</v>
      </c>
      <c r="S160" s="254">
        <f t="shared" si="6"/>
        <v>0</v>
      </c>
    </row>
    <row r="161" spans="1:19" hidden="1" outlineLevel="3" x14ac:dyDescent="0.35">
      <c r="A161" s="165"/>
      <c r="B161" s="168" t="s">
        <v>198</v>
      </c>
      <c r="C161" s="168" t="s">
        <v>199</v>
      </c>
      <c r="D161" s="169" t="s">
        <v>172</v>
      </c>
      <c r="E161" s="242">
        <f>VLOOKUP(C161,Lists!$Q$5:$U$43, MATCH(D161,Lists!$Q$4:$U$4,0),0)</f>
        <v>2400</v>
      </c>
      <c r="F161" s="170">
        <v>0</v>
      </c>
      <c r="G161" s="243">
        <f t="shared" si="7"/>
        <v>0</v>
      </c>
      <c r="H161" s="170">
        <v>0</v>
      </c>
      <c r="I161" s="242">
        <f t="shared" si="8"/>
        <v>0</v>
      </c>
      <c r="J161" s="170">
        <v>0</v>
      </c>
      <c r="K161" s="242">
        <f t="shared" si="9"/>
        <v>0</v>
      </c>
      <c r="L161" s="170">
        <v>0</v>
      </c>
      <c r="M161" s="242">
        <f t="shared" si="10"/>
        <v>0</v>
      </c>
      <c r="N161" s="170">
        <v>0</v>
      </c>
      <c r="O161" s="242">
        <f t="shared" si="11"/>
        <v>0</v>
      </c>
      <c r="P161" s="170">
        <v>0</v>
      </c>
      <c r="Q161" s="246">
        <f t="shared" si="12"/>
        <v>0</v>
      </c>
      <c r="R161" s="252">
        <f t="shared" si="13"/>
        <v>0</v>
      </c>
      <c r="S161" s="254">
        <f t="shared" si="6"/>
        <v>0</v>
      </c>
    </row>
    <row r="162" spans="1:19" hidden="1" outlineLevel="3" x14ac:dyDescent="0.35">
      <c r="A162" s="165"/>
      <c r="B162" s="168" t="s">
        <v>196</v>
      </c>
      <c r="C162" s="168" t="s">
        <v>197</v>
      </c>
      <c r="D162" s="169" t="s">
        <v>172</v>
      </c>
      <c r="E162" s="242">
        <f>VLOOKUP(C162,Lists!$Q$5:$U$43, MATCH(D162,Lists!$Q$4:$U$4,0),0)</f>
        <v>1986</v>
      </c>
      <c r="F162" s="170">
        <v>0</v>
      </c>
      <c r="G162" s="243">
        <f t="shared" si="7"/>
        <v>0</v>
      </c>
      <c r="H162" s="170">
        <v>0</v>
      </c>
      <c r="I162" s="242">
        <f t="shared" si="8"/>
        <v>0</v>
      </c>
      <c r="J162" s="170">
        <v>0</v>
      </c>
      <c r="K162" s="242">
        <f t="shared" si="9"/>
        <v>0</v>
      </c>
      <c r="L162" s="170">
        <v>0</v>
      </c>
      <c r="M162" s="242">
        <f t="shared" si="10"/>
        <v>0</v>
      </c>
      <c r="N162" s="170">
        <v>0</v>
      </c>
      <c r="O162" s="242">
        <f t="shared" si="11"/>
        <v>0</v>
      </c>
      <c r="P162" s="170">
        <v>0</v>
      </c>
      <c r="Q162" s="246">
        <f t="shared" si="12"/>
        <v>0</v>
      </c>
      <c r="R162" s="252">
        <f t="shared" si="13"/>
        <v>0</v>
      </c>
      <c r="S162" s="254">
        <f t="shared" si="6"/>
        <v>0</v>
      </c>
    </row>
    <row r="163" spans="1:19" hidden="1" outlineLevel="3" x14ac:dyDescent="0.35">
      <c r="A163" s="165"/>
      <c r="B163" s="168" t="s">
        <v>196</v>
      </c>
      <c r="C163" s="168" t="s">
        <v>197</v>
      </c>
      <c r="D163" s="169" t="s">
        <v>172</v>
      </c>
      <c r="E163" s="242">
        <f>VLOOKUP(C163,Lists!$Q$5:$U$43, MATCH(D163,Lists!$Q$4:$U$4,0),0)</f>
        <v>1986</v>
      </c>
      <c r="F163" s="170">
        <v>0</v>
      </c>
      <c r="G163" s="243">
        <f t="shared" si="7"/>
        <v>0</v>
      </c>
      <c r="H163" s="170">
        <v>0</v>
      </c>
      <c r="I163" s="242">
        <f t="shared" si="8"/>
        <v>0</v>
      </c>
      <c r="J163" s="170">
        <v>0</v>
      </c>
      <c r="K163" s="242">
        <f t="shared" si="9"/>
        <v>0</v>
      </c>
      <c r="L163" s="170">
        <v>0</v>
      </c>
      <c r="M163" s="242">
        <f t="shared" si="10"/>
        <v>0</v>
      </c>
      <c r="N163" s="170">
        <v>0</v>
      </c>
      <c r="O163" s="242">
        <f t="shared" si="11"/>
        <v>0</v>
      </c>
      <c r="P163" s="170">
        <v>0</v>
      </c>
      <c r="Q163" s="246">
        <f t="shared" si="12"/>
        <v>0</v>
      </c>
      <c r="R163" s="252">
        <f t="shared" si="13"/>
        <v>0</v>
      </c>
      <c r="S163" s="254">
        <f t="shared" si="6"/>
        <v>0</v>
      </c>
    </row>
    <row r="164" spans="1:19" hidden="1" outlineLevel="3" x14ac:dyDescent="0.35">
      <c r="A164" s="165"/>
      <c r="B164" s="168" t="s">
        <v>196</v>
      </c>
      <c r="C164" s="168" t="s">
        <v>197</v>
      </c>
      <c r="D164" s="169" t="s">
        <v>172</v>
      </c>
      <c r="E164" s="242">
        <f>VLOOKUP(C164,Lists!$Q$5:$U$43, MATCH(D164,Lists!$Q$4:$U$4,0),0)</f>
        <v>1986</v>
      </c>
      <c r="F164" s="170">
        <v>0</v>
      </c>
      <c r="G164" s="244">
        <f t="shared" si="7"/>
        <v>0</v>
      </c>
      <c r="H164" s="170">
        <v>0</v>
      </c>
      <c r="I164" s="242">
        <f t="shared" si="8"/>
        <v>0</v>
      </c>
      <c r="J164" s="170">
        <v>0</v>
      </c>
      <c r="K164" s="242">
        <f t="shared" si="9"/>
        <v>0</v>
      </c>
      <c r="L164" s="170">
        <v>0</v>
      </c>
      <c r="M164" s="242">
        <f t="shared" si="10"/>
        <v>0</v>
      </c>
      <c r="N164" s="170">
        <v>0</v>
      </c>
      <c r="O164" s="242">
        <f t="shared" si="11"/>
        <v>0</v>
      </c>
      <c r="P164" s="170">
        <v>0</v>
      </c>
      <c r="Q164" s="246">
        <f t="shared" si="12"/>
        <v>0</v>
      </c>
      <c r="R164" s="252">
        <f t="shared" si="13"/>
        <v>0</v>
      </c>
      <c r="S164" s="254">
        <f t="shared" si="6"/>
        <v>0</v>
      </c>
    </row>
    <row r="165" spans="1:19" hidden="1" outlineLevel="3" x14ac:dyDescent="0.35">
      <c r="A165" s="165"/>
      <c r="B165" s="168" t="s">
        <v>196</v>
      </c>
      <c r="C165" s="168" t="s">
        <v>197</v>
      </c>
      <c r="D165" s="169" t="s">
        <v>172</v>
      </c>
      <c r="E165" s="242">
        <f>VLOOKUP(C165,Lists!$Q$5:$U$43, MATCH(D165,Lists!$Q$4:$U$4,0),0)</f>
        <v>1986</v>
      </c>
      <c r="F165" s="170">
        <v>0</v>
      </c>
      <c r="G165" s="245">
        <f t="shared" si="7"/>
        <v>0</v>
      </c>
      <c r="H165" s="170">
        <v>0</v>
      </c>
      <c r="I165" s="242">
        <f t="shared" si="8"/>
        <v>0</v>
      </c>
      <c r="J165" s="170">
        <v>0</v>
      </c>
      <c r="K165" s="242">
        <f t="shared" si="9"/>
        <v>0</v>
      </c>
      <c r="L165" s="170">
        <v>0</v>
      </c>
      <c r="M165" s="242">
        <f t="shared" si="10"/>
        <v>0</v>
      </c>
      <c r="N165" s="170">
        <v>0</v>
      </c>
      <c r="O165" s="242">
        <f t="shared" si="11"/>
        <v>0</v>
      </c>
      <c r="P165" s="170">
        <v>0</v>
      </c>
      <c r="Q165" s="246">
        <f t="shared" si="12"/>
        <v>0</v>
      </c>
      <c r="R165" s="252">
        <f t="shared" si="13"/>
        <v>0</v>
      </c>
      <c r="S165" s="254">
        <f t="shared" si="6"/>
        <v>0</v>
      </c>
    </row>
    <row r="166" spans="1:19" hidden="1" outlineLevel="3" x14ac:dyDescent="0.35">
      <c r="A166" s="165"/>
      <c r="B166" s="168" t="s">
        <v>196</v>
      </c>
      <c r="C166" s="168" t="s">
        <v>197</v>
      </c>
      <c r="D166" s="169" t="s">
        <v>172</v>
      </c>
      <c r="E166" s="242">
        <f>VLOOKUP(C166,Lists!$Q$5:$U$43, MATCH(D166,Lists!$Q$4:$U$4,0),0)</f>
        <v>1986</v>
      </c>
      <c r="F166" s="170">
        <v>0</v>
      </c>
      <c r="G166" s="245">
        <f t="shared" si="7"/>
        <v>0</v>
      </c>
      <c r="H166" s="170">
        <v>0</v>
      </c>
      <c r="I166" s="242">
        <f t="shared" si="8"/>
        <v>0</v>
      </c>
      <c r="J166" s="170">
        <v>0</v>
      </c>
      <c r="K166" s="242">
        <f t="shared" si="9"/>
        <v>0</v>
      </c>
      <c r="L166" s="170">
        <v>0</v>
      </c>
      <c r="M166" s="242">
        <f t="shared" si="10"/>
        <v>0</v>
      </c>
      <c r="N166" s="170">
        <v>0</v>
      </c>
      <c r="O166" s="242">
        <f t="shared" si="11"/>
        <v>0</v>
      </c>
      <c r="P166" s="170">
        <v>0</v>
      </c>
      <c r="Q166" s="246">
        <f t="shared" si="12"/>
        <v>0</v>
      </c>
      <c r="R166" s="252">
        <f t="shared" si="13"/>
        <v>0</v>
      </c>
      <c r="S166" s="254">
        <f t="shared" si="6"/>
        <v>0</v>
      </c>
    </row>
    <row r="167" spans="1:19" hidden="1" outlineLevel="3" x14ac:dyDescent="0.35">
      <c r="A167" s="165"/>
      <c r="B167" s="168" t="s">
        <v>196</v>
      </c>
      <c r="C167" s="168" t="s">
        <v>197</v>
      </c>
      <c r="D167" s="169" t="s">
        <v>172</v>
      </c>
      <c r="E167" s="242">
        <f>VLOOKUP(C167,Lists!$Q$5:$U$43, MATCH(D167,Lists!$Q$4:$U$4,0),0)</f>
        <v>1986</v>
      </c>
      <c r="F167" s="170">
        <v>0</v>
      </c>
      <c r="G167" s="245">
        <f t="shared" si="7"/>
        <v>0</v>
      </c>
      <c r="H167" s="170">
        <v>0</v>
      </c>
      <c r="I167" s="242">
        <f t="shared" si="8"/>
        <v>0</v>
      </c>
      <c r="J167" s="170">
        <v>0</v>
      </c>
      <c r="K167" s="242">
        <f t="shared" si="9"/>
        <v>0</v>
      </c>
      <c r="L167" s="170">
        <v>0</v>
      </c>
      <c r="M167" s="242">
        <f t="shared" si="10"/>
        <v>0</v>
      </c>
      <c r="N167" s="170">
        <v>0</v>
      </c>
      <c r="O167" s="242">
        <f t="shared" si="11"/>
        <v>0</v>
      </c>
      <c r="P167" s="170">
        <v>0</v>
      </c>
      <c r="Q167" s="246">
        <f t="shared" si="12"/>
        <v>0</v>
      </c>
      <c r="R167" s="252">
        <f t="shared" si="13"/>
        <v>0</v>
      </c>
      <c r="S167" s="254">
        <f t="shared" si="6"/>
        <v>0</v>
      </c>
    </row>
    <row r="168" spans="1:19" hidden="1" outlineLevel="3" x14ac:dyDescent="0.35">
      <c r="A168" s="166"/>
      <c r="B168" s="168" t="s">
        <v>196</v>
      </c>
      <c r="C168" s="168" t="s">
        <v>197</v>
      </c>
      <c r="D168" s="169" t="s">
        <v>172</v>
      </c>
      <c r="E168" s="242">
        <f>VLOOKUP(C168,Lists!$Q$5:$U$43, MATCH(D168,Lists!$Q$4:$U$4,0),0)</f>
        <v>1986</v>
      </c>
      <c r="F168" s="170">
        <v>0</v>
      </c>
      <c r="G168" s="245">
        <f t="shared" si="7"/>
        <v>0</v>
      </c>
      <c r="H168" s="170">
        <v>0</v>
      </c>
      <c r="I168" s="242">
        <f t="shared" si="8"/>
        <v>0</v>
      </c>
      <c r="J168" s="170">
        <v>0</v>
      </c>
      <c r="K168" s="242">
        <f t="shared" si="9"/>
        <v>0</v>
      </c>
      <c r="L168" s="170">
        <v>0</v>
      </c>
      <c r="M168" s="242">
        <f t="shared" si="10"/>
        <v>0</v>
      </c>
      <c r="N168" s="170">
        <v>0</v>
      </c>
      <c r="O168" s="242">
        <f t="shared" si="11"/>
        <v>0</v>
      </c>
      <c r="P168" s="170">
        <v>0</v>
      </c>
      <c r="Q168" s="246">
        <f t="shared" si="12"/>
        <v>0</v>
      </c>
      <c r="R168" s="252">
        <f t="shared" si="13"/>
        <v>0</v>
      </c>
      <c r="S168" s="254">
        <f t="shared" si="6"/>
        <v>0</v>
      </c>
    </row>
    <row r="169" spans="1:19" ht="16" hidden="1" outlineLevel="3" thickBot="1" x14ac:dyDescent="0.4">
      <c r="A169" s="417" t="s">
        <v>256</v>
      </c>
      <c r="B169" s="417"/>
      <c r="C169" s="417"/>
      <c r="D169" s="417"/>
      <c r="E169" s="418"/>
      <c r="F169" s="249"/>
      <c r="G169" s="250">
        <f>SUM(G146:G168)</f>
        <v>615</v>
      </c>
      <c r="H169" s="251"/>
      <c r="I169" s="250">
        <f>SUM(I146:I168)</f>
        <v>0</v>
      </c>
      <c r="J169" s="251"/>
      <c r="K169" s="250">
        <f>SUM(K146:K168)</f>
        <v>0</v>
      </c>
      <c r="L169" s="251"/>
      <c r="M169" s="250">
        <f>SUM(M146:M168)</f>
        <v>0</v>
      </c>
      <c r="N169" s="251"/>
      <c r="O169" s="250">
        <f>SUM(O146:O168)</f>
        <v>0</v>
      </c>
      <c r="P169" s="251"/>
      <c r="Q169" s="250">
        <f>SUM(Q146:Q168)</f>
        <v>0</v>
      </c>
      <c r="R169" s="255"/>
      <c r="S169" s="248">
        <f>SUM(S146:S168)</f>
        <v>615</v>
      </c>
    </row>
    <row r="170" spans="1:19" outlineLevel="2" x14ac:dyDescent="0.35">
      <c r="A170" s="55"/>
      <c r="B170" s="56"/>
      <c r="C170" s="56"/>
      <c r="D170" s="56"/>
      <c r="E170" s="57"/>
      <c r="F170" s="58"/>
      <c r="G170" s="57"/>
      <c r="H170" s="58"/>
      <c r="I170" s="56"/>
      <c r="J170" s="58"/>
      <c r="K170" s="56"/>
      <c r="L170" s="58"/>
      <c r="M170" s="56"/>
      <c r="N170" s="58"/>
      <c r="O170" s="56"/>
      <c r="P170" s="58"/>
      <c r="Q170" s="59"/>
      <c r="R170" s="56"/>
      <c r="S170" s="56"/>
    </row>
    <row r="171" spans="1:19" ht="18" customHeight="1" outlineLevel="2" collapsed="1" x14ac:dyDescent="0.45">
      <c r="A171" s="186" t="s">
        <v>257</v>
      </c>
      <c r="B171" s="187"/>
      <c r="C171" s="187"/>
      <c r="D171" s="187"/>
      <c r="E171" s="189">
        <f>S195</f>
        <v>670600</v>
      </c>
      <c r="F171" s="187"/>
      <c r="G171" s="187"/>
      <c r="H171" s="187"/>
      <c r="I171" s="187"/>
      <c r="J171" s="187"/>
      <c r="K171" s="187"/>
      <c r="L171" s="187"/>
      <c r="M171" s="187"/>
      <c r="N171" s="187"/>
      <c r="O171" s="187"/>
      <c r="P171" s="187"/>
      <c r="Q171" s="187"/>
      <c r="R171" s="187"/>
      <c r="S171" s="188"/>
    </row>
    <row r="172" spans="1:19" hidden="1" outlineLevel="3" x14ac:dyDescent="0.35">
      <c r="A172" s="165" t="s">
        <v>244</v>
      </c>
      <c r="B172" s="168" t="s">
        <v>196</v>
      </c>
      <c r="C172" s="168" t="s">
        <v>197</v>
      </c>
      <c r="D172" s="169" t="s">
        <v>180</v>
      </c>
      <c r="E172" s="242">
        <f>VLOOKUP(C172,Lists!$Q$5:$U$43, MATCH(D172,Lists!$Q$4:$U$4,0),0)</f>
        <v>615</v>
      </c>
      <c r="F172" s="170">
        <v>0</v>
      </c>
      <c r="G172" s="243">
        <f>F172*E172</f>
        <v>0</v>
      </c>
      <c r="H172" s="170">
        <v>20</v>
      </c>
      <c r="I172" s="242">
        <f>H172*E172</f>
        <v>12300</v>
      </c>
      <c r="J172" s="170">
        <v>10</v>
      </c>
      <c r="K172" s="242">
        <f>J172*E172</f>
        <v>6150</v>
      </c>
      <c r="L172" s="170">
        <v>10</v>
      </c>
      <c r="M172" s="242">
        <f>L172*E172</f>
        <v>6150</v>
      </c>
      <c r="N172" s="170">
        <v>10</v>
      </c>
      <c r="O172" s="242">
        <f>N172*E172</f>
        <v>6150</v>
      </c>
      <c r="P172" s="170">
        <v>10</v>
      </c>
      <c r="Q172" s="246">
        <f>P172*E172</f>
        <v>6150</v>
      </c>
      <c r="R172" s="252">
        <f>SUM(F172+H172+J172+L172+N172+P172)</f>
        <v>60</v>
      </c>
      <c r="S172" s="253">
        <f t="shared" ref="S172:S194" si="14">R172*E172</f>
        <v>36900</v>
      </c>
    </row>
    <row r="173" spans="1:19" hidden="1" outlineLevel="3" x14ac:dyDescent="0.35">
      <c r="A173" s="165" t="s">
        <v>245</v>
      </c>
      <c r="B173" s="168" t="s">
        <v>246</v>
      </c>
      <c r="C173" s="168" t="s">
        <v>247</v>
      </c>
      <c r="D173" s="169" t="s">
        <v>172</v>
      </c>
      <c r="E173" s="242">
        <f>VLOOKUP(C173,Lists!$Q$5:$U$43, MATCH(D173,Lists!$Q$4:$U$4,0),0)</f>
        <v>2000</v>
      </c>
      <c r="F173" s="170">
        <v>0</v>
      </c>
      <c r="G173" s="243">
        <f t="shared" ref="G173:G194" si="15">F173*E173</f>
        <v>0</v>
      </c>
      <c r="H173" s="170">
        <v>10</v>
      </c>
      <c r="I173" s="242">
        <f t="shared" ref="I173:I194" si="16">H173*E173</f>
        <v>20000</v>
      </c>
      <c r="J173" s="170">
        <v>10</v>
      </c>
      <c r="K173" s="242">
        <f t="shared" ref="K173:K194" si="17">J173*E173</f>
        <v>20000</v>
      </c>
      <c r="L173" s="170">
        <v>10</v>
      </c>
      <c r="M173" s="242">
        <f t="shared" ref="M173:M194" si="18">L173*E173</f>
        <v>20000</v>
      </c>
      <c r="N173" s="170">
        <v>10</v>
      </c>
      <c r="O173" s="242">
        <f t="shared" ref="O173:O194" si="19">N173*E173</f>
        <v>20000</v>
      </c>
      <c r="P173" s="170">
        <v>10</v>
      </c>
      <c r="Q173" s="246">
        <f t="shared" ref="Q173:Q194" si="20">P173*E173</f>
        <v>20000</v>
      </c>
      <c r="R173" s="252">
        <f t="shared" ref="R173:R194" si="21">SUM(F173+H173+J173+L173+N173+P173)</f>
        <v>50</v>
      </c>
      <c r="S173" s="254">
        <f t="shared" si="14"/>
        <v>100000</v>
      </c>
    </row>
    <row r="174" spans="1:19" hidden="1" outlineLevel="3" x14ac:dyDescent="0.35">
      <c r="A174" s="165" t="s">
        <v>248</v>
      </c>
      <c r="B174" s="168" t="s">
        <v>187</v>
      </c>
      <c r="C174" s="168" t="s">
        <v>249</v>
      </c>
      <c r="D174" s="169" t="s">
        <v>180</v>
      </c>
      <c r="E174" s="242">
        <f>VLOOKUP(C174,Lists!$Q$5:$U$43, MATCH(D174,Lists!$Q$4:$U$4,0),0)</f>
        <v>615</v>
      </c>
      <c r="F174" s="170">
        <v>0</v>
      </c>
      <c r="G174" s="243">
        <f t="shared" si="15"/>
        <v>0</v>
      </c>
      <c r="H174" s="170">
        <v>20</v>
      </c>
      <c r="I174" s="242">
        <f t="shared" si="16"/>
        <v>12300</v>
      </c>
      <c r="J174" s="170">
        <v>12</v>
      </c>
      <c r="K174" s="242">
        <f t="shared" si="17"/>
        <v>7380</v>
      </c>
      <c r="L174" s="170">
        <v>12</v>
      </c>
      <c r="M174" s="242">
        <f t="shared" si="18"/>
        <v>7380</v>
      </c>
      <c r="N174" s="170">
        <v>12</v>
      </c>
      <c r="O174" s="242">
        <f t="shared" si="19"/>
        <v>7380</v>
      </c>
      <c r="P174" s="170">
        <v>12</v>
      </c>
      <c r="Q174" s="246">
        <f t="shared" si="20"/>
        <v>7380</v>
      </c>
      <c r="R174" s="252">
        <f t="shared" si="21"/>
        <v>68</v>
      </c>
      <c r="S174" s="254">
        <f t="shared" si="14"/>
        <v>41820</v>
      </c>
    </row>
    <row r="175" spans="1:19" hidden="1" outlineLevel="3" x14ac:dyDescent="0.35">
      <c r="A175" s="165"/>
      <c r="B175" s="168" t="s">
        <v>200</v>
      </c>
      <c r="C175" s="168" t="s">
        <v>250</v>
      </c>
      <c r="D175" s="169" t="s">
        <v>172</v>
      </c>
      <c r="E175" s="242">
        <f>VLOOKUP(C175,Lists!$Q$5:$U$43, MATCH(D175,Lists!$Q$4:$U$4,0),0)</f>
        <v>1800</v>
      </c>
      <c r="F175" s="170">
        <v>0</v>
      </c>
      <c r="G175" s="243">
        <f t="shared" si="15"/>
        <v>0</v>
      </c>
      <c r="H175" s="170">
        <v>10</v>
      </c>
      <c r="I175" s="242">
        <f t="shared" si="16"/>
        <v>18000</v>
      </c>
      <c r="J175" s="170">
        <v>15</v>
      </c>
      <c r="K175" s="242">
        <f t="shared" si="17"/>
        <v>27000</v>
      </c>
      <c r="L175" s="170">
        <v>40</v>
      </c>
      <c r="M175" s="242">
        <f t="shared" si="18"/>
        <v>72000</v>
      </c>
      <c r="N175" s="170">
        <v>10</v>
      </c>
      <c r="O175" s="242">
        <f t="shared" si="19"/>
        <v>18000</v>
      </c>
      <c r="P175" s="170">
        <v>10</v>
      </c>
      <c r="Q175" s="246">
        <f t="shared" si="20"/>
        <v>18000</v>
      </c>
      <c r="R175" s="252">
        <f t="shared" si="21"/>
        <v>85</v>
      </c>
      <c r="S175" s="254">
        <f t="shared" si="14"/>
        <v>153000</v>
      </c>
    </row>
    <row r="176" spans="1:19" hidden="1" outlineLevel="3" x14ac:dyDescent="0.35">
      <c r="A176" s="165" t="s">
        <v>251</v>
      </c>
      <c r="B176" s="168" t="s">
        <v>200</v>
      </c>
      <c r="C176" s="168" t="s">
        <v>252</v>
      </c>
      <c r="D176" s="169" t="s">
        <v>172</v>
      </c>
      <c r="E176" s="242">
        <f>VLOOKUP(C176,Lists!$Q$5:$U$43, MATCH(D176,Lists!$Q$4:$U$4,0),0)</f>
        <v>1913</v>
      </c>
      <c r="F176" s="170">
        <v>0</v>
      </c>
      <c r="G176" s="243">
        <f t="shared" si="15"/>
        <v>0</v>
      </c>
      <c r="H176" s="170">
        <v>12</v>
      </c>
      <c r="I176" s="242">
        <f t="shared" si="16"/>
        <v>22956</v>
      </c>
      <c r="J176" s="170">
        <v>12</v>
      </c>
      <c r="K176" s="242">
        <f t="shared" si="17"/>
        <v>22956</v>
      </c>
      <c r="L176" s="170">
        <v>12</v>
      </c>
      <c r="M176" s="242">
        <f t="shared" si="18"/>
        <v>22956</v>
      </c>
      <c r="N176" s="170">
        <v>12</v>
      </c>
      <c r="O176" s="242">
        <f t="shared" si="19"/>
        <v>22956</v>
      </c>
      <c r="P176" s="170">
        <v>12</v>
      </c>
      <c r="Q176" s="246">
        <f t="shared" si="20"/>
        <v>22956</v>
      </c>
      <c r="R176" s="252">
        <f t="shared" si="21"/>
        <v>60</v>
      </c>
      <c r="S176" s="254">
        <f t="shared" si="14"/>
        <v>114780</v>
      </c>
    </row>
    <row r="177" spans="1:19" hidden="1" outlineLevel="3" x14ac:dyDescent="0.35">
      <c r="A177" s="165"/>
      <c r="B177" s="168" t="s">
        <v>187</v>
      </c>
      <c r="C177" s="168" t="s">
        <v>185</v>
      </c>
      <c r="D177" s="169" t="s">
        <v>180</v>
      </c>
      <c r="E177" s="242">
        <f>VLOOKUP(C177,Lists!$Q$5:$U$43, MATCH(D177,Lists!$Q$4:$U$4,0),0)</f>
        <v>615</v>
      </c>
      <c r="F177" s="170">
        <v>0</v>
      </c>
      <c r="G177" s="243">
        <f t="shared" si="15"/>
        <v>0</v>
      </c>
      <c r="H177" s="170">
        <v>12</v>
      </c>
      <c r="I177" s="242">
        <f t="shared" si="16"/>
        <v>7380</v>
      </c>
      <c r="J177" s="170">
        <v>12</v>
      </c>
      <c r="K177" s="242">
        <f t="shared" si="17"/>
        <v>7380</v>
      </c>
      <c r="L177" s="170">
        <v>12</v>
      </c>
      <c r="M177" s="242">
        <f t="shared" si="18"/>
        <v>7380</v>
      </c>
      <c r="N177" s="170">
        <v>12</v>
      </c>
      <c r="O177" s="242">
        <f t="shared" si="19"/>
        <v>7380</v>
      </c>
      <c r="P177" s="170">
        <v>12</v>
      </c>
      <c r="Q177" s="246">
        <f t="shared" si="20"/>
        <v>7380</v>
      </c>
      <c r="R177" s="252">
        <f t="shared" si="21"/>
        <v>60</v>
      </c>
      <c r="S177" s="254">
        <f t="shared" si="14"/>
        <v>36900</v>
      </c>
    </row>
    <row r="178" spans="1:19" hidden="1" outlineLevel="3" x14ac:dyDescent="0.35">
      <c r="A178" s="165" t="s">
        <v>253</v>
      </c>
      <c r="B178" s="168" t="s">
        <v>170</v>
      </c>
      <c r="C178" s="168" t="s">
        <v>171</v>
      </c>
      <c r="D178" s="169" t="s">
        <v>189</v>
      </c>
      <c r="E178" s="242">
        <f>VLOOKUP(C178,Lists!$Q$5:$U$43, MATCH(D178,Lists!$Q$4:$U$4,0),0)</f>
        <v>1850</v>
      </c>
      <c r="F178" s="170">
        <v>0</v>
      </c>
      <c r="G178" s="243">
        <f t="shared" si="15"/>
        <v>0</v>
      </c>
      <c r="H178" s="170">
        <v>12</v>
      </c>
      <c r="I178" s="242">
        <f t="shared" si="16"/>
        <v>22200</v>
      </c>
      <c r="J178" s="170">
        <v>12</v>
      </c>
      <c r="K178" s="242">
        <f t="shared" si="17"/>
        <v>22200</v>
      </c>
      <c r="L178" s="170">
        <v>12</v>
      </c>
      <c r="M178" s="242">
        <f t="shared" si="18"/>
        <v>22200</v>
      </c>
      <c r="N178" s="170">
        <v>12</v>
      </c>
      <c r="O178" s="242">
        <f t="shared" si="19"/>
        <v>22200</v>
      </c>
      <c r="P178" s="170">
        <v>12</v>
      </c>
      <c r="Q178" s="246">
        <f t="shared" si="20"/>
        <v>22200</v>
      </c>
      <c r="R178" s="252">
        <f t="shared" si="21"/>
        <v>60</v>
      </c>
      <c r="S178" s="254">
        <f t="shared" si="14"/>
        <v>111000</v>
      </c>
    </row>
    <row r="179" spans="1:19" hidden="1" outlineLevel="3" x14ac:dyDescent="0.35">
      <c r="A179" s="165"/>
      <c r="B179" s="168" t="s">
        <v>187</v>
      </c>
      <c r="C179" s="168" t="s">
        <v>185</v>
      </c>
      <c r="D179" s="169" t="s">
        <v>180</v>
      </c>
      <c r="E179" s="242">
        <f>VLOOKUP(C179,Lists!$Q$5:$U$43, MATCH(D179,Lists!$Q$4:$U$4,0),0)</f>
        <v>615</v>
      </c>
      <c r="F179" s="170">
        <v>0</v>
      </c>
      <c r="G179" s="243">
        <f t="shared" si="15"/>
        <v>0</v>
      </c>
      <c r="H179" s="170">
        <v>12</v>
      </c>
      <c r="I179" s="242">
        <f t="shared" si="16"/>
        <v>7380</v>
      </c>
      <c r="J179" s="170">
        <v>12</v>
      </c>
      <c r="K179" s="242">
        <f t="shared" si="17"/>
        <v>7380</v>
      </c>
      <c r="L179" s="170">
        <v>12</v>
      </c>
      <c r="M179" s="242">
        <f t="shared" si="18"/>
        <v>7380</v>
      </c>
      <c r="N179" s="170">
        <v>12</v>
      </c>
      <c r="O179" s="242">
        <f t="shared" si="19"/>
        <v>7380</v>
      </c>
      <c r="P179" s="170">
        <v>12</v>
      </c>
      <c r="Q179" s="246">
        <f t="shared" si="20"/>
        <v>7380</v>
      </c>
      <c r="R179" s="252">
        <f t="shared" si="21"/>
        <v>60</v>
      </c>
      <c r="S179" s="254">
        <f t="shared" si="14"/>
        <v>36900</v>
      </c>
    </row>
    <row r="180" spans="1:19" hidden="1" outlineLevel="3" x14ac:dyDescent="0.35">
      <c r="A180" s="165"/>
      <c r="B180" s="168" t="s">
        <v>187</v>
      </c>
      <c r="C180" s="168" t="s">
        <v>185</v>
      </c>
      <c r="D180" s="169" t="s">
        <v>180</v>
      </c>
      <c r="E180" s="242">
        <f>VLOOKUP(C180,Lists!$Q$5:$U$43, MATCH(D180,Lists!$Q$4:$U$4,0),0)</f>
        <v>615</v>
      </c>
      <c r="F180" s="170">
        <v>0</v>
      </c>
      <c r="G180" s="243">
        <f t="shared" si="15"/>
        <v>0</v>
      </c>
      <c r="H180" s="170">
        <v>12</v>
      </c>
      <c r="I180" s="242">
        <f t="shared" si="16"/>
        <v>7380</v>
      </c>
      <c r="J180" s="170">
        <v>12</v>
      </c>
      <c r="K180" s="242">
        <f t="shared" si="17"/>
        <v>7380</v>
      </c>
      <c r="L180" s="170">
        <v>12</v>
      </c>
      <c r="M180" s="242">
        <f t="shared" si="18"/>
        <v>7380</v>
      </c>
      <c r="N180" s="170">
        <v>12</v>
      </c>
      <c r="O180" s="242">
        <f t="shared" si="19"/>
        <v>7380</v>
      </c>
      <c r="P180" s="170">
        <v>12</v>
      </c>
      <c r="Q180" s="246">
        <f t="shared" si="20"/>
        <v>7380</v>
      </c>
      <c r="R180" s="252">
        <f t="shared" si="21"/>
        <v>60</v>
      </c>
      <c r="S180" s="254">
        <f t="shared" si="14"/>
        <v>36900</v>
      </c>
    </row>
    <row r="181" spans="1:19" hidden="1" outlineLevel="3" x14ac:dyDescent="0.35">
      <c r="A181" s="165"/>
      <c r="B181" s="168" t="s">
        <v>187</v>
      </c>
      <c r="C181" s="168" t="s">
        <v>185</v>
      </c>
      <c r="D181" s="169" t="s">
        <v>180</v>
      </c>
      <c r="E181" s="242">
        <f>VLOOKUP(C181,Lists!$Q$5:$U$43, MATCH(D181,Lists!$Q$4:$U$4,0),0)</f>
        <v>615</v>
      </c>
      <c r="F181" s="170">
        <v>0</v>
      </c>
      <c r="G181" s="243">
        <f t="shared" si="15"/>
        <v>0</v>
      </c>
      <c r="H181" s="170"/>
      <c r="I181" s="242">
        <f t="shared" si="16"/>
        <v>0</v>
      </c>
      <c r="J181" s="170"/>
      <c r="K181" s="242">
        <f t="shared" si="17"/>
        <v>0</v>
      </c>
      <c r="L181" s="170"/>
      <c r="M181" s="242">
        <f t="shared" si="18"/>
        <v>0</v>
      </c>
      <c r="N181" s="170"/>
      <c r="O181" s="242">
        <f t="shared" si="19"/>
        <v>0</v>
      </c>
      <c r="P181" s="170"/>
      <c r="Q181" s="246">
        <f t="shared" si="20"/>
        <v>0</v>
      </c>
      <c r="R181" s="252">
        <f t="shared" si="21"/>
        <v>0</v>
      </c>
      <c r="S181" s="254">
        <f t="shared" si="14"/>
        <v>0</v>
      </c>
    </row>
    <row r="182" spans="1:19" hidden="1" outlineLevel="3" x14ac:dyDescent="0.35">
      <c r="A182" s="165"/>
      <c r="B182" s="168" t="s">
        <v>187</v>
      </c>
      <c r="C182" s="168" t="s">
        <v>185</v>
      </c>
      <c r="D182" s="169" t="s">
        <v>254</v>
      </c>
      <c r="E182" s="242">
        <f>VLOOKUP(C182,Lists!$Q$5:$U$43, MATCH(D182,Lists!$Q$4:$U$4,0),0)</f>
        <v>1300</v>
      </c>
      <c r="F182" s="170">
        <v>0</v>
      </c>
      <c r="G182" s="243">
        <f t="shared" si="15"/>
        <v>0</v>
      </c>
      <c r="H182" s="170"/>
      <c r="I182" s="242">
        <f t="shared" si="16"/>
        <v>0</v>
      </c>
      <c r="J182" s="170"/>
      <c r="K182" s="242">
        <f t="shared" si="17"/>
        <v>0</v>
      </c>
      <c r="L182" s="170"/>
      <c r="M182" s="242">
        <f t="shared" si="18"/>
        <v>0</v>
      </c>
      <c r="N182" s="170"/>
      <c r="O182" s="242">
        <f t="shared" si="19"/>
        <v>0</v>
      </c>
      <c r="P182" s="170"/>
      <c r="Q182" s="246">
        <f t="shared" si="20"/>
        <v>0</v>
      </c>
      <c r="R182" s="252">
        <f t="shared" si="21"/>
        <v>0</v>
      </c>
      <c r="S182" s="254">
        <f t="shared" si="14"/>
        <v>0</v>
      </c>
    </row>
    <row r="183" spans="1:19" hidden="1" outlineLevel="3" x14ac:dyDescent="0.35">
      <c r="A183" s="165"/>
      <c r="B183" s="168" t="s">
        <v>187</v>
      </c>
      <c r="C183" s="168" t="s">
        <v>185</v>
      </c>
      <c r="D183" s="169" t="s">
        <v>180</v>
      </c>
      <c r="E183" s="242">
        <f>VLOOKUP(C183,Lists!$Q$5:$U$43, MATCH(D183,Lists!$Q$4:$U$4,0),0)</f>
        <v>615</v>
      </c>
      <c r="F183" s="170">
        <v>0</v>
      </c>
      <c r="G183" s="243">
        <f t="shared" si="15"/>
        <v>0</v>
      </c>
      <c r="H183" s="170"/>
      <c r="I183" s="242">
        <f t="shared" si="16"/>
        <v>0</v>
      </c>
      <c r="J183" s="170"/>
      <c r="K183" s="242">
        <f t="shared" si="17"/>
        <v>0</v>
      </c>
      <c r="L183" s="170"/>
      <c r="M183" s="242">
        <f t="shared" si="18"/>
        <v>0</v>
      </c>
      <c r="N183" s="170"/>
      <c r="O183" s="242">
        <f t="shared" si="19"/>
        <v>0</v>
      </c>
      <c r="P183" s="170"/>
      <c r="Q183" s="246">
        <f t="shared" si="20"/>
        <v>0</v>
      </c>
      <c r="R183" s="252">
        <f t="shared" si="21"/>
        <v>0</v>
      </c>
      <c r="S183" s="254">
        <f t="shared" si="14"/>
        <v>0</v>
      </c>
    </row>
    <row r="184" spans="1:19" hidden="1" outlineLevel="3" x14ac:dyDescent="0.35">
      <c r="A184" s="165"/>
      <c r="B184" s="168" t="s">
        <v>187</v>
      </c>
      <c r="C184" s="168" t="s">
        <v>185</v>
      </c>
      <c r="D184" s="169" t="s">
        <v>180</v>
      </c>
      <c r="E184" s="242">
        <f>VLOOKUP(C184,Lists!$Q$5:$U$43, MATCH(D184,Lists!$Q$4:$U$4,0),0)</f>
        <v>615</v>
      </c>
      <c r="F184" s="170">
        <v>0</v>
      </c>
      <c r="G184" s="243">
        <f t="shared" si="15"/>
        <v>0</v>
      </c>
      <c r="H184" s="170"/>
      <c r="I184" s="242">
        <f t="shared" si="16"/>
        <v>0</v>
      </c>
      <c r="J184" s="170"/>
      <c r="K184" s="242">
        <f t="shared" si="17"/>
        <v>0</v>
      </c>
      <c r="L184" s="170"/>
      <c r="M184" s="242">
        <f t="shared" si="18"/>
        <v>0</v>
      </c>
      <c r="N184" s="170"/>
      <c r="O184" s="242">
        <f t="shared" si="19"/>
        <v>0</v>
      </c>
      <c r="P184" s="170"/>
      <c r="Q184" s="246">
        <f t="shared" si="20"/>
        <v>0</v>
      </c>
      <c r="R184" s="252">
        <f t="shared" si="21"/>
        <v>0</v>
      </c>
      <c r="S184" s="254">
        <f t="shared" si="14"/>
        <v>0</v>
      </c>
    </row>
    <row r="185" spans="1:19" hidden="1" outlineLevel="3" x14ac:dyDescent="0.35">
      <c r="A185" s="165"/>
      <c r="B185" s="168" t="s">
        <v>187</v>
      </c>
      <c r="C185" s="168" t="s">
        <v>185</v>
      </c>
      <c r="D185" s="169" t="s">
        <v>180</v>
      </c>
      <c r="E185" s="242">
        <f>VLOOKUP(C185,Lists!$Q$5:$U$43, MATCH(D185,Lists!$Q$4:$U$4,0),0)</f>
        <v>615</v>
      </c>
      <c r="F185" s="170">
        <v>0</v>
      </c>
      <c r="G185" s="243">
        <f t="shared" si="15"/>
        <v>0</v>
      </c>
      <c r="H185" s="170"/>
      <c r="I185" s="242">
        <f t="shared" si="16"/>
        <v>0</v>
      </c>
      <c r="J185" s="170"/>
      <c r="K185" s="242">
        <f t="shared" si="17"/>
        <v>0</v>
      </c>
      <c r="L185" s="170"/>
      <c r="M185" s="242">
        <f t="shared" si="18"/>
        <v>0</v>
      </c>
      <c r="N185" s="170"/>
      <c r="O185" s="242">
        <f t="shared" si="19"/>
        <v>0</v>
      </c>
      <c r="P185" s="170"/>
      <c r="Q185" s="246">
        <f t="shared" si="20"/>
        <v>0</v>
      </c>
      <c r="R185" s="252">
        <f t="shared" si="21"/>
        <v>0</v>
      </c>
      <c r="S185" s="254">
        <f t="shared" si="14"/>
        <v>0</v>
      </c>
    </row>
    <row r="186" spans="1:19" hidden="1" outlineLevel="3" x14ac:dyDescent="0.35">
      <c r="A186" s="165"/>
      <c r="B186" s="168" t="s">
        <v>170</v>
      </c>
      <c r="C186" s="168" t="s">
        <v>171</v>
      </c>
      <c r="D186" s="169" t="s">
        <v>172</v>
      </c>
      <c r="E186" s="242">
        <f>VLOOKUP(C186,Lists!$Q$5:$U$43, MATCH(D186,Lists!$Q$4:$U$4,0),0)</f>
        <v>2900</v>
      </c>
      <c r="F186" s="170">
        <v>0</v>
      </c>
      <c r="G186" s="243">
        <f t="shared" si="15"/>
        <v>0</v>
      </c>
      <c r="H186" s="170"/>
      <c r="I186" s="242">
        <f t="shared" si="16"/>
        <v>0</v>
      </c>
      <c r="J186" s="170"/>
      <c r="K186" s="242">
        <f t="shared" si="17"/>
        <v>0</v>
      </c>
      <c r="L186" s="170"/>
      <c r="M186" s="242">
        <f t="shared" si="18"/>
        <v>0</v>
      </c>
      <c r="N186" s="170"/>
      <c r="O186" s="242">
        <f t="shared" si="19"/>
        <v>0</v>
      </c>
      <c r="P186" s="170"/>
      <c r="Q186" s="246">
        <f t="shared" si="20"/>
        <v>0</v>
      </c>
      <c r="R186" s="252">
        <f t="shared" si="21"/>
        <v>0</v>
      </c>
      <c r="S186" s="254">
        <f t="shared" si="14"/>
        <v>0</v>
      </c>
    </row>
    <row r="187" spans="1:19" hidden="1" outlineLevel="3" x14ac:dyDescent="0.35">
      <c r="A187" s="165"/>
      <c r="B187" s="168" t="s">
        <v>198</v>
      </c>
      <c r="C187" s="168" t="s">
        <v>199</v>
      </c>
      <c r="D187" s="169" t="s">
        <v>172</v>
      </c>
      <c r="E187" s="242">
        <f>VLOOKUP(C187,Lists!$Q$5:$U$43, MATCH(D187,Lists!$Q$4:$U$4,0),0)</f>
        <v>2400</v>
      </c>
      <c r="F187" s="170">
        <v>0</v>
      </c>
      <c r="G187" s="243">
        <f t="shared" si="15"/>
        <v>0</v>
      </c>
      <c r="H187" s="170">
        <v>1</v>
      </c>
      <c r="I187" s="242">
        <f t="shared" si="16"/>
        <v>2400</v>
      </c>
      <c r="J187" s="170"/>
      <c r="K187" s="242">
        <f t="shared" si="17"/>
        <v>0</v>
      </c>
      <c r="L187" s="170"/>
      <c r="M187" s="242">
        <f t="shared" si="18"/>
        <v>0</v>
      </c>
      <c r="N187" s="170"/>
      <c r="O187" s="242">
        <f t="shared" si="19"/>
        <v>0</v>
      </c>
      <c r="P187" s="170"/>
      <c r="Q187" s="246">
        <f t="shared" si="20"/>
        <v>0</v>
      </c>
      <c r="R187" s="252">
        <f t="shared" si="21"/>
        <v>1</v>
      </c>
      <c r="S187" s="254">
        <f t="shared" si="14"/>
        <v>2400</v>
      </c>
    </row>
    <row r="188" spans="1:19" hidden="1" outlineLevel="3" x14ac:dyDescent="0.35">
      <c r="A188" s="165"/>
      <c r="B188" s="168" t="s">
        <v>196</v>
      </c>
      <c r="C188" s="168" t="s">
        <v>197</v>
      </c>
      <c r="D188" s="169" t="s">
        <v>172</v>
      </c>
      <c r="E188" s="242">
        <f>VLOOKUP(C188,Lists!$Q$5:$U$43, MATCH(D188,Lists!$Q$4:$U$4,0),0)</f>
        <v>1986</v>
      </c>
      <c r="F188" s="170">
        <v>0</v>
      </c>
      <c r="G188" s="243">
        <f t="shared" si="15"/>
        <v>0</v>
      </c>
      <c r="H188" s="170"/>
      <c r="I188" s="242">
        <f t="shared" si="16"/>
        <v>0</v>
      </c>
      <c r="J188" s="170"/>
      <c r="K188" s="242">
        <f t="shared" si="17"/>
        <v>0</v>
      </c>
      <c r="L188" s="170"/>
      <c r="M188" s="242">
        <f t="shared" si="18"/>
        <v>0</v>
      </c>
      <c r="N188" s="170"/>
      <c r="O188" s="242">
        <f t="shared" si="19"/>
        <v>0</v>
      </c>
      <c r="P188" s="170"/>
      <c r="Q188" s="246">
        <f t="shared" si="20"/>
        <v>0</v>
      </c>
      <c r="R188" s="252">
        <f t="shared" si="21"/>
        <v>0</v>
      </c>
      <c r="S188" s="254">
        <f t="shared" si="14"/>
        <v>0</v>
      </c>
    </row>
    <row r="189" spans="1:19" hidden="1" outlineLevel="3" x14ac:dyDescent="0.35">
      <c r="A189" s="165"/>
      <c r="B189" s="168" t="s">
        <v>196</v>
      </c>
      <c r="C189" s="168" t="s">
        <v>197</v>
      </c>
      <c r="D189" s="169" t="s">
        <v>172</v>
      </c>
      <c r="E189" s="242">
        <f>VLOOKUP(C189,Lists!$Q$5:$U$43, MATCH(D189,Lists!$Q$4:$U$4,0),0)</f>
        <v>1986</v>
      </c>
      <c r="F189" s="170">
        <v>0</v>
      </c>
      <c r="G189" s="243">
        <f t="shared" si="15"/>
        <v>0</v>
      </c>
      <c r="H189" s="170"/>
      <c r="I189" s="242">
        <f t="shared" si="16"/>
        <v>0</v>
      </c>
      <c r="J189" s="170"/>
      <c r="K189" s="242">
        <f t="shared" si="17"/>
        <v>0</v>
      </c>
      <c r="L189" s="170"/>
      <c r="M189" s="242">
        <f t="shared" si="18"/>
        <v>0</v>
      </c>
      <c r="N189" s="170"/>
      <c r="O189" s="242">
        <f t="shared" si="19"/>
        <v>0</v>
      </c>
      <c r="P189" s="170"/>
      <c r="Q189" s="246">
        <f t="shared" si="20"/>
        <v>0</v>
      </c>
      <c r="R189" s="252">
        <f t="shared" si="21"/>
        <v>0</v>
      </c>
      <c r="S189" s="254">
        <f t="shared" si="14"/>
        <v>0</v>
      </c>
    </row>
    <row r="190" spans="1:19" hidden="1" outlineLevel="3" x14ac:dyDescent="0.35">
      <c r="A190" s="165"/>
      <c r="B190" s="168" t="s">
        <v>196</v>
      </c>
      <c r="C190" s="168" t="s">
        <v>197</v>
      </c>
      <c r="D190" s="169" t="s">
        <v>172</v>
      </c>
      <c r="E190" s="242">
        <f>VLOOKUP(C190,Lists!$Q$5:$U$43, MATCH(D190,Lists!$Q$4:$U$4,0),0)</f>
        <v>1986</v>
      </c>
      <c r="F190" s="170">
        <v>0</v>
      </c>
      <c r="G190" s="244">
        <f t="shared" si="15"/>
        <v>0</v>
      </c>
      <c r="H190" s="170"/>
      <c r="I190" s="242">
        <f t="shared" si="16"/>
        <v>0</v>
      </c>
      <c r="J190" s="170"/>
      <c r="K190" s="242">
        <f t="shared" si="17"/>
        <v>0</v>
      </c>
      <c r="L190" s="170"/>
      <c r="M190" s="242">
        <f t="shared" si="18"/>
        <v>0</v>
      </c>
      <c r="N190" s="170"/>
      <c r="O190" s="242">
        <f t="shared" si="19"/>
        <v>0</v>
      </c>
      <c r="P190" s="170"/>
      <c r="Q190" s="246">
        <f t="shared" si="20"/>
        <v>0</v>
      </c>
      <c r="R190" s="252">
        <f t="shared" si="21"/>
        <v>0</v>
      </c>
      <c r="S190" s="254">
        <f t="shared" si="14"/>
        <v>0</v>
      </c>
    </row>
    <row r="191" spans="1:19" hidden="1" outlineLevel="3" x14ac:dyDescent="0.35">
      <c r="A191" s="165"/>
      <c r="B191" s="168" t="s">
        <v>196</v>
      </c>
      <c r="C191" s="168" t="s">
        <v>197</v>
      </c>
      <c r="D191" s="169" t="s">
        <v>172</v>
      </c>
      <c r="E191" s="242">
        <f>VLOOKUP(C191,Lists!$Q$5:$U$43, MATCH(D191,Lists!$Q$4:$U$4,0),0)</f>
        <v>1986</v>
      </c>
      <c r="F191" s="170">
        <v>0</v>
      </c>
      <c r="G191" s="245">
        <f t="shared" si="15"/>
        <v>0</v>
      </c>
      <c r="H191" s="170"/>
      <c r="I191" s="242">
        <f t="shared" si="16"/>
        <v>0</v>
      </c>
      <c r="J191" s="170"/>
      <c r="K191" s="242">
        <f t="shared" si="17"/>
        <v>0</v>
      </c>
      <c r="L191" s="170"/>
      <c r="M191" s="242">
        <f t="shared" si="18"/>
        <v>0</v>
      </c>
      <c r="N191" s="170"/>
      <c r="O191" s="242">
        <f t="shared" si="19"/>
        <v>0</v>
      </c>
      <c r="P191" s="170"/>
      <c r="Q191" s="246">
        <f t="shared" si="20"/>
        <v>0</v>
      </c>
      <c r="R191" s="252">
        <f t="shared" si="21"/>
        <v>0</v>
      </c>
      <c r="S191" s="254">
        <f t="shared" si="14"/>
        <v>0</v>
      </c>
    </row>
    <row r="192" spans="1:19" hidden="1" outlineLevel="3" x14ac:dyDescent="0.35">
      <c r="A192" s="165"/>
      <c r="B192" s="168" t="s">
        <v>196</v>
      </c>
      <c r="C192" s="168" t="s">
        <v>197</v>
      </c>
      <c r="D192" s="169" t="s">
        <v>172</v>
      </c>
      <c r="E192" s="242">
        <f>VLOOKUP(C192,Lists!$Q$5:$U$43, MATCH(D192,Lists!$Q$4:$U$4,0),0)</f>
        <v>1986</v>
      </c>
      <c r="F192" s="170">
        <v>0</v>
      </c>
      <c r="G192" s="245">
        <f t="shared" si="15"/>
        <v>0</v>
      </c>
      <c r="H192" s="170"/>
      <c r="I192" s="242">
        <f t="shared" si="16"/>
        <v>0</v>
      </c>
      <c r="J192" s="170"/>
      <c r="K192" s="242">
        <f t="shared" si="17"/>
        <v>0</v>
      </c>
      <c r="L192" s="170"/>
      <c r="M192" s="242">
        <f t="shared" si="18"/>
        <v>0</v>
      </c>
      <c r="N192" s="170"/>
      <c r="O192" s="242">
        <f t="shared" si="19"/>
        <v>0</v>
      </c>
      <c r="P192" s="170"/>
      <c r="Q192" s="246">
        <f t="shared" si="20"/>
        <v>0</v>
      </c>
      <c r="R192" s="252">
        <f t="shared" si="21"/>
        <v>0</v>
      </c>
      <c r="S192" s="254">
        <f t="shared" si="14"/>
        <v>0</v>
      </c>
    </row>
    <row r="193" spans="1:19" hidden="1" outlineLevel="3" x14ac:dyDescent="0.35">
      <c r="A193" s="165"/>
      <c r="B193" s="168" t="s">
        <v>196</v>
      </c>
      <c r="C193" s="168" t="s">
        <v>197</v>
      </c>
      <c r="D193" s="169" t="s">
        <v>172</v>
      </c>
      <c r="E193" s="242">
        <f>VLOOKUP(C193,Lists!$Q$5:$U$43, MATCH(D193,Lists!$Q$4:$U$4,0),0)</f>
        <v>1986</v>
      </c>
      <c r="F193" s="170">
        <v>0</v>
      </c>
      <c r="G193" s="245">
        <f t="shared" si="15"/>
        <v>0</v>
      </c>
      <c r="H193" s="170"/>
      <c r="I193" s="242">
        <f t="shared" si="16"/>
        <v>0</v>
      </c>
      <c r="J193" s="170"/>
      <c r="K193" s="242">
        <f t="shared" si="17"/>
        <v>0</v>
      </c>
      <c r="L193" s="170"/>
      <c r="M193" s="242">
        <f t="shared" si="18"/>
        <v>0</v>
      </c>
      <c r="N193" s="170"/>
      <c r="O193" s="242">
        <f t="shared" si="19"/>
        <v>0</v>
      </c>
      <c r="P193" s="170"/>
      <c r="Q193" s="246">
        <f t="shared" si="20"/>
        <v>0</v>
      </c>
      <c r="R193" s="252">
        <f t="shared" si="21"/>
        <v>0</v>
      </c>
      <c r="S193" s="254">
        <f t="shared" si="14"/>
        <v>0</v>
      </c>
    </row>
    <row r="194" spans="1:19" hidden="1" outlineLevel="3" x14ac:dyDescent="0.35">
      <c r="A194" s="166"/>
      <c r="B194" s="168" t="s">
        <v>196</v>
      </c>
      <c r="C194" s="168" t="s">
        <v>197</v>
      </c>
      <c r="D194" s="169" t="s">
        <v>172</v>
      </c>
      <c r="E194" s="242">
        <f>VLOOKUP(C194,Lists!$Q$5:$U$43, MATCH(D194,Lists!$Q$4:$U$4,0),0)</f>
        <v>1986</v>
      </c>
      <c r="F194" s="170">
        <v>0</v>
      </c>
      <c r="G194" s="245">
        <f t="shared" si="15"/>
        <v>0</v>
      </c>
      <c r="H194" s="170"/>
      <c r="I194" s="242">
        <f t="shared" si="16"/>
        <v>0</v>
      </c>
      <c r="J194" s="170"/>
      <c r="K194" s="242">
        <f t="shared" si="17"/>
        <v>0</v>
      </c>
      <c r="L194" s="170"/>
      <c r="M194" s="242">
        <f t="shared" si="18"/>
        <v>0</v>
      </c>
      <c r="N194" s="170"/>
      <c r="O194" s="36">
        <f t="shared" si="19"/>
        <v>0</v>
      </c>
      <c r="P194" s="170"/>
      <c r="Q194" s="246">
        <f t="shared" si="20"/>
        <v>0</v>
      </c>
      <c r="R194" s="252">
        <f t="shared" si="21"/>
        <v>0</v>
      </c>
      <c r="S194" s="254">
        <f t="shared" si="14"/>
        <v>0</v>
      </c>
    </row>
    <row r="195" spans="1:19" ht="16" hidden="1" outlineLevel="3" thickBot="1" x14ac:dyDescent="0.4">
      <c r="A195" s="417" t="s">
        <v>258</v>
      </c>
      <c r="B195" s="417"/>
      <c r="C195" s="417"/>
      <c r="D195" s="417"/>
      <c r="E195" s="418"/>
      <c r="F195" s="249"/>
      <c r="G195" s="250">
        <f>SUM(G172:G194)</f>
        <v>0</v>
      </c>
      <c r="H195" s="251"/>
      <c r="I195" s="250">
        <f>SUM(I172:I194)</f>
        <v>132296</v>
      </c>
      <c r="J195" s="251"/>
      <c r="K195" s="250">
        <f>SUM(K172:K194)</f>
        <v>127826</v>
      </c>
      <c r="L195" s="251"/>
      <c r="M195" s="250">
        <f>SUM(M172:M194)</f>
        <v>172826</v>
      </c>
      <c r="N195" s="251"/>
      <c r="O195" s="250">
        <f>SUM(O172:O194)</f>
        <v>118826</v>
      </c>
      <c r="P195" s="251"/>
      <c r="Q195" s="250">
        <f>SUM(Q172:Q194)</f>
        <v>118826</v>
      </c>
      <c r="R195" s="247"/>
      <c r="S195" s="248">
        <f>SUM(S172:S194)</f>
        <v>670600</v>
      </c>
    </row>
    <row r="196" spans="1:19" outlineLevel="2" x14ac:dyDescent="0.35">
      <c r="A196" s="55"/>
      <c r="B196" s="56"/>
      <c r="C196" s="56"/>
      <c r="D196" s="56"/>
      <c r="E196" s="57"/>
      <c r="F196" s="58"/>
      <c r="G196" s="57"/>
      <c r="H196" s="58"/>
      <c r="I196" s="56"/>
      <c r="J196" s="58"/>
      <c r="K196" s="56"/>
      <c r="L196" s="58"/>
      <c r="M196" s="56"/>
      <c r="N196" s="58"/>
      <c r="O196" s="56"/>
      <c r="P196" s="58"/>
      <c r="Q196" s="59"/>
      <c r="R196" s="56"/>
      <c r="S196" s="56"/>
    </row>
    <row r="197" spans="1:19" ht="18.5" outlineLevel="2" x14ac:dyDescent="0.45">
      <c r="A197" s="186" t="s">
        <v>259</v>
      </c>
      <c r="B197" s="187"/>
      <c r="C197" s="187"/>
      <c r="D197" s="187"/>
      <c r="E197" s="192">
        <f>R198</f>
        <v>669985</v>
      </c>
      <c r="F197" s="187"/>
      <c r="G197" s="187"/>
      <c r="H197" s="187"/>
      <c r="I197" s="187"/>
      <c r="J197" s="187"/>
      <c r="K197" s="187"/>
      <c r="L197" s="187"/>
      <c r="M197" s="187"/>
      <c r="N197" s="187"/>
      <c r="O197" s="187"/>
      <c r="P197" s="187"/>
      <c r="Q197" s="187"/>
      <c r="R197" s="190"/>
      <c r="S197" s="191"/>
    </row>
    <row r="198" spans="1:19" ht="15.5" outlineLevel="2" thickBot="1" x14ac:dyDescent="0.4">
      <c r="A198" s="417" t="s">
        <v>260</v>
      </c>
      <c r="B198" s="417"/>
      <c r="C198" s="417"/>
      <c r="D198" s="417"/>
      <c r="E198" s="418"/>
      <c r="F198" s="414">
        <f>G195-G169</f>
        <v>-615</v>
      </c>
      <c r="G198" s="414"/>
      <c r="H198" s="414">
        <f>I195-I169</f>
        <v>132296</v>
      </c>
      <c r="I198" s="414"/>
      <c r="J198" s="414">
        <f>K195-K169</f>
        <v>127826</v>
      </c>
      <c r="K198" s="414"/>
      <c r="L198" s="414">
        <f>M195-M169</f>
        <v>172826</v>
      </c>
      <c r="M198" s="414"/>
      <c r="N198" s="414">
        <f>O195-O169</f>
        <v>118826</v>
      </c>
      <c r="O198" s="414"/>
      <c r="P198" s="414">
        <f>Q195-Q169</f>
        <v>118826</v>
      </c>
      <c r="Q198" s="414"/>
      <c r="R198" s="415">
        <f>S195-S169</f>
        <v>669985</v>
      </c>
      <c r="S198" s="416"/>
    </row>
    <row r="199" spans="1:19" ht="15" outlineLevel="1" thickTop="1" x14ac:dyDescent="0.35">
      <c r="I199"/>
      <c r="J199"/>
    </row>
    <row r="200" spans="1:19" ht="18.75" customHeight="1" outlineLevel="1" collapsed="1" x14ac:dyDescent="0.45">
      <c r="A200" s="400" t="s">
        <v>65</v>
      </c>
      <c r="B200" s="400"/>
      <c r="C200" s="400"/>
      <c r="D200" s="400"/>
      <c r="E200" s="184">
        <f>H227</f>
        <v>2</v>
      </c>
      <c r="I200"/>
      <c r="K200" s="3"/>
      <c r="L200" s="3"/>
      <c r="M200" s="3"/>
      <c r="N200" s="3"/>
      <c r="O200" s="3"/>
      <c r="P200" s="3"/>
      <c r="Q200" s="3"/>
      <c r="R200" s="3"/>
      <c r="S200" s="3"/>
    </row>
    <row r="201" spans="1:19" ht="18.5" hidden="1" outlineLevel="2" collapsed="1" x14ac:dyDescent="0.45">
      <c r="A201" s="194" t="s">
        <v>261</v>
      </c>
      <c r="B201" s="194"/>
      <c r="C201" s="194"/>
      <c r="D201" s="194"/>
      <c r="E201" s="197">
        <f>H209</f>
        <v>12</v>
      </c>
      <c r="F201" s="194"/>
      <c r="G201" s="194"/>
      <c r="H201" s="194"/>
      <c r="K201" s="3"/>
      <c r="L201" s="3"/>
      <c r="M201" s="3"/>
      <c r="N201" s="3"/>
      <c r="O201" s="3"/>
      <c r="P201" s="3"/>
      <c r="Q201" s="3"/>
      <c r="R201" s="3"/>
      <c r="S201" s="3"/>
    </row>
    <row r="202" spans="1:19" ht="29.75" hidden="1" customHeight="1" outlineLevel="3" x14ac:dyDescent="0.35">
      <c r="A202" s="195" t="s">
        <v>262</v>
      </c>
      <c r="B202" s="196" t="s">
        <v>117</v>
      </c>
      <c r="C202" s="196" t="s">
        <v>118</v>
      </c>
      <c r="D202" s="196" t="s">
        <v>119</v>
      </c>
      <c r="E202" s="196" t="s">
        <v>120</v>
      </c>
      <c r="F202" s="196" t="s">
        <v>121</v>
      </c>
      <c r="G202" s="196" t="s">
        <v>122</v>
      </c>
      <c r="H202" s="239" t="s">
        <v>241</v>
      </c>
      <c r="K202" s="3"/>
      <c r="L202" s="3"/>
      <c r="M202" s="3"/>
      <c r="N202" s="3"/>
      <c r="O202" s="3"/>
      <c r="P202" s="3"/>
      <c r="Q202" s="3"/>
      <c r="R202" s="3"/>
      <c r="S202" s="3"/>
    </row>
    <row r="203" spans="1:19" ht="15.5" hidden="1" outlineLevel="3" x14ac:dyDescent="0.35">
      <c r="A203" s="185" t="s">
        <v>97</v>
      </c>
      <c r="B203" s="193">
        <v>2</v>
      </c>
      <c r="C203" s="193">
        <v>0</v>
      </c>
      <c r="D203" s="193">
        <v>0</v>
      </c>
      <c r="E203" s="193">
        <v>0</v>
      </c>
      <c r="F203" s="193">
        <v>0</v>
      </c>
      <c r="G203" s="193">
        <v>2</v>
      </c>
      <c r="H203" s="239">
        <f t="shared" ref="H203:H208" si="22">SUM(B203:G203)</f>
        <v>4</v>
      </c>
      <c r="K203" s="3"/>
      <c r="L203" s="3"/>
      <c r="M203" s="3"/>
      <c r="N203" s="3"/>
      <c r="O203" s="3"/>
      <c r="P203" s="3"/>
      <c r="Q203" s="3"/>
      <c r="R203" s="3"/>
      <c r="S203" s="3"/>
    </row>
    <row r="204" spans="1:19" ht="15.5" hidden="1" outlineLevel="3" x14ac:dyDescent="0.35">
      <c r="A204" s="185" t="s">
        <v>98</v>
      </c>
      <c r="B204" s="193">
        <v>0</v>
      </c>
      <c r="C204" s="193">
        <v>0</v>
      </c>
      <c r="D204" s="193">
        <v>2</v>
      </c>
      <c r="E204" s="193"/>
      <c r="F204" s="193">
        <v>2</v>
      </c>
      <c r="G204" s="193">
        <v>2</v>
      </c>
      <c r="H204" s="239">
        <f t="shared" si="22"/>
        <v>6</v>
      </c>
      <c r="K204" s="3"/>
      <c r="L204" s="3"/>
      <c r="M204" s="3"/>
      <c r="N204" s="3"/>
      <c r="O204" s="3"/>
      <c r="P204" s="3"/>
      <c r="Q204" s="3"/>
      <c r="R204" s="3"/>
      <c r="S204" s="3"/>
    </row>
    <row r="205" spans="1:19" ht="15.5" hidden="1" outlineLevel="3" x14ac:dyDescent="0.35">
      <c r="A205" s="185" t="s">
        <v>99</v>
      </c>
      <c r="B205" s="193">
        <v>0</v>
      </c>
      <c r="C205" s="193">
        <v>0</v>
      </c>
      <c r="D205" s="193">
        <v>0</v>
      </c>
      <c r="E205" s="193"/>
      <c r="F205" s="193">
        <v>0</v>
      </c>
      <c r="G205" s="193">
        <v>0</v>
      </c>
      <c r="H205" s="239">
        <f t="shared" si="22"/>
        <v>0</v>
      </c>
      <c r="K205" s="3"/>
      <c r="L205" s="3"/>
      <c r="M205" s="3"/>
      <c r="N205" s="3"/>
      <c r="O205" s="3"/>
      <c r="P205" s="3"/>
      <c r="Q205" s="3"/>
      <c r="R205" s="3"/>
      <c r="S205" s="3"/>
    </row>
    <row r="206" spans="1:19" ht="15.5" hidden="1" outlineLevel="3" x14ac:dyDescent="0.35">
      <c r="A206" s="185" t="s">
        <v>100</v>
      </c>
      <c r="B206" s="193"/>
      <c r="C206" s="193">
        <v>0</v>
      </c>
      <c r="D206" s="193"/>
      <c r="E206" s="193"/>
      <c r="F206" s="193">
        <v>2</v>
      </c>
      <c r="G206" s="193"/>
      <c r="H206" s="239">
        <f t="shared" si="22"/>
        <v>2</v>
      </c>
      <c r="K206" s="3"/>
      <c r="L206" s="3"/>
      <c r="M206" s="3"/>
      <c r="N206" s="3"/>
      <c r="O206" s="3"/>
      <c r="P206" s="3"/>
      <c r="Q206" s="3"/>
      <c r="R206" s="3"/>
      <c r="S206" s="3"/>
    </row>
    <row r="207" spans="1:19" ht="15.5" hidden="1" outlineLevel="3" x14ac:dyDescent="0.35">
      <c r="A207" s="185" t="s">
        <v>101</v>
      </c>
      <c r="B207" s="193"/>
      <c r="C207" s="193"/>
      <c r="D207" s="193"/>
      <c r="E207" s="193"/>
      <c r="F207" s="193"/>
      <c r="G207" s="193"/>
      <c r="H207" s="239">
        <f t="shared" si="22"/>
        <v>0</v>
      </c>
      <c r="K207" s="3"/>
      <c r="L207" s="3"/>
      <c r="M207" s="3"/>
      <c r="N207" s="3"/>
      <c r="O207" s="3"/>
      <c r="P207" s="3"/>
      <c r="Q207" s="3"/>
      <c r="R207" s="3"/>
      <c r="S207" s="3"/>
    </row>
    <row r="208" spans="1:19" ht="15.5" hidden="1" outlineLevel="3" x14ac:dyDescent="0.35">
      <c r="A208" s="185" t="s">
        <v>102</v>
      </c>
      <c r="B208" s="193"/>
      <c r="C208" s="193"/>
      <c r="D208" s="193"/>
      <c r="E208" s="193"/>
      <c r="F208" s="193"/>
      <c r="G208" s="193"/>
      <c r="H208" s="239">
        <f t="shared" si="22"/>
        <v>0</v>
      </c>
      <c r="K208" s="3"/>
      <c r="L208" s="3"/>
      <c r="M208" s="3"/>
      <c r="N208" s="3"/>
      <c r="O208" s="3"/>
      <c r="P208" s="3"/>
      <c r="Q208" s="3"/>
      <c r="R208" s="3"/>
      <c r="S208" s="3"/>
    </row>
    <row r="209" spans="1:19" ht="15" hidden="1" outlineLevel="3" x14ac:dyDescent="0.35">
      <c r="A209" s="241" t="s">
        <v>263</v>
      </c>
      <c r="B209" s="240">
        <f>SUM(B203:B208)</f>
        <v>2</v>
      </c>
      <c r="C209" s="240">
        <f t="shared" ref="C209:H209" si="23">SUM(C203:C208)</f>
        <v>0</v>
      </c>
      <c r="D209" s="240">
        <f t="shared" si="23"/>
        <v>2</v>
      </c>
      <c r="E209" s="240">
        <f t="shared" si="23"/>
        <v>0</v>
      </c>
      <c r="F209" s="240">
        <f t="shared" si="23"/>
        <v>4</v>
      </c>
      <c r="G209" s="240">
        <f t="shared" si="23"/>
        <v>4</v>
      </c>
      <c r="H209" s="240">
        <f t="shared" si="23"/>
        <v>12</v>
      </c>
      <c r="K209" s="3"/>
      <c r="L209" s="3"/>
      <c r="M209" s="3"/>
      <c r="N209" s="3"/>
      <c r="O209" s="3"/>
      <c r="P209" s="3"/>
      <c r="Q209" s="3"/>
      <c r="R209" s="3"/>
      <c r="S209" s="3"/>
    </row>
    <row r="210" spans="1:19" ht="18.5" hidden="1" outlineLevel="2" collapsed="1" x14ac:dyDescent="0.45">
      <c r="A210" s="194" t="s">
        <v>264</v>
      </c>
      <c r="B210" s="194"/>
      <c r="C210" s="194"/>
      <c r="D210" s="194"/>
      <c r="E210" s="197">
        <f>H218</f>
        <v>14</v>
      </c>
      <c r="F210" s="194"/>
      <c r="G210" s="194"/>
      <c r="H210" s="194"/>
      <c r="K210" s="3"/>
      <c r="L210" s="3"/>
      <c r="M210" s="3"/>
      <c r="N210" s="3"/>
      <c r="O210" s="3"/>
      <c r="P210" s="3"/>
      <c r="Q210" s="3"/>
      <c r="R210" s="3"/>
      <c r="S210" s="3"/>
    </row>
    <row r="211" spans="1:19" ht="29.75" hidden="1" customHeight="1" outlineLevel="3" x14ac:dyDescent="0.35">
      <c r="A211" s="195" t="s">
        <v>262</v>
      </c>
      <c r="B211" s="196" t="s">
        <v>117</v>
      </c>
      <c r="C211" s="196" t="s">
        <v>118</v>
      </c>
      <c r="D211" s="196" t="s">
        <v>119</v>
      </c>
      <c r="E211" s="196" t="s">
        <v>120</v>
      </c>
      <c r="F211" s="196" t="s">
        <v>121</v>
      </c>
      <c r="G211" s="196" t="s">
        <v>122</v>
      </c>
      <c r="H211" s="239" t="s">
        <v>241</v>
      </c>
      <c r="K211" s="3"/>
      <c r="L211" s="3"/>
      <c r="M211" s="3"/>
      <c r="N211" s="3"/>
      <c r="O211" s="3"/>
      <c r="P211" s="3"/>
      <c r="Q211" s="3"/>
      <c r="R211" s="3"/>
      <c r="S211" s="3"/>
    </row>
    <row r="212" spans="1:19" ht="15.5" hidden="1" outlineLevel="3" x14ac:dyDescent="0.35">
      <c r="A212" s="185" t="s">
        <v>97</v>
      </c>
      <c r="B212" s="193">
        <v>2</v>
      </c>
      <c r="C212" s="193">
        <v>0</v>
      </c>
      <c r="D212" s="193">
        <v>0</v>
      </c>
      <c r="E212" s="193">
        <v>0</v>
      </c>
      <c r="F212" s="193">
        <v>0</v>
      </c>
      <c r="G212" s="193">
        <v>2</v>
      </c>
      <c r="H212" s="239">
        <f t="shared" ref="H212:H217" si="24">SUM(B212:G212)</f>
        <v>4</v>
      </c>
      <c r="K212" s="3"/>
      <c r="L212" s="3"/>
      <c r="M212" s="3"/>
      <c r="N212" s="3"/>
      <c r="O212" s="3"/>
      <c r="P212" s="3"/>
      <c r="Q212" s="3"/>
      <c r="R212" s="3"/>
      <c r="S212" s="3"/>
    </row>
    <row r="213" spans="1:19" ht="15.5" hidden="1" outlineLevel="3" x14ac:dyDescent="0.35">
      <c r="A213" s="185" t="s">
        <v>98</v>
      </c>
      <c r="B213" s="193">
        <v>0</v>
      </c>
      <c r="C213" s="193">
        <v>0</v>
      </c>
      <c r="D213" s="193">
        <v>1</v>
      </c>
      <c r="E213" s="193"/>
      <c r="F213" s="193">
        <v>2</v>
      </c>
      <c r="G213" s="193">
        <v>4</v>
      </c>
      <c r="H213" s="239">
        <f t="shared" si="24"/>
        <v>7</v>
      </c>
      <c r="K213" s="3"/>
      <c r="L213" s="3"/>
      <c r="M213" s="3"/>
      <c r="N213" s="3"/>
      <c r="O213" s="3"/>
      <c r="P213" s="3"/>
      <c r="Q213" s="3"/>
      <c r="R213" s="3"/>
      <c r="S213" s="3"/>
    </row>
    <row r="214" spans="1:19" ht="15.5" hidden="1" outlineLevel="3" x14ac:dyDescent="0.35">
      <c r="A214" s="185" t="s">
        <v>99</v>
      </c>
      <c r="B214" s="193">
        <v>0</v>
      </c>
      <c r="C214" s="193">
        <v>0</v>
      </c>
      <c r="D214" s="193">
        <v>0</v>
      </c>
      <c r="E214" s="193"/>
      <c r="F214" s="193">
        <v>0</v>
      </c>
      <c r="G214" s="193">
        <v>0</v>
      </c>
      <c r="H214" s="239">
        <f t="shared" si="24"/>
        <v>0</v>
      </c>
      <c r="K214" s="3"/>
      <c r="L214" s="3"/>
      <c r="M214" s="3"/>
      <c r="N214" s="3"/>
      <c r="O214" s="3"/>
      <c r="P214" s="3"/>
      <c r="Q214" s="3"/>
      <c r="R214" s="3"/>
      <c r="S214" s="3"/>
    </row>
    <row r="215" spans="1:19" ht="15.5" hidden="1" outlineLevel="3" x14ac:dyDescent="0.35">
      <c r="A215" s="185" t="s">
        <v>100</v>
      </c>
      <c r="B215" s="193"/>
      <c r="C215" s="193">
        <v>0</v>
      </c>
      <c r="D215" s="193"/>
      <c r="E215" s="193"/>
      <c r="F215" s="193">
        <v>3</v>
      </c>
      <c r="G215" s="193"/>
      <c r="H215" s="239">
        <f t="shared" si="24"/>
        <v>3</v>
      </c>
      <c r="K215" s="3"/>
      <c r="L215" s="3"/>
      <c r="M215" s="3"/>
      <c r="N215" s="3"/>
      <c r="O215" s="3"/>
      <c r="P215" s="3"/>
      <c r="Q215" s="3"/>
      <c r="R215" s="3"/>
      <c r="S215" s="3"/>
    </row>
    <row r="216" spans="1:19" ht="15.5" hidden="1" outlineLevel="3" x14ac:dyDescent="0.35">
      <c r="A216" s="185" t="s">
        <v>101</v>
      </c>
      <c r="B216" s="193"/>
      <c r="C216" s="193"/>
      <c r="D216" s="193"/>
      <c r="E216" s="193"/>
      <c r="F216" s="193"/>
      <c r="G216" s="193"/>
      <c r="H216" s="239">
        <f t="shared" si="24"/>
        <v>0</v>
      </c>
      <c r="K216" s="3"/>
      <c r="L216" s="3"/>
      <c r="M216" s="3"/>
      <c r="N216" s="3"/>
      <c r="O216" s="3"/>
      <c r="P216" s="3"/>
      <c r="Q216" s="3"/>
      <c r="R216" s="3"/>
      <c r="S216" s="3"/>
    </row>
    <row r="217" spans="1:19" ht="15.5" hidden="1" outlineLevel="3" x14ac:dyDescent="0.35">
      <c r="A217" s="185" t="s">
        <v>102</v>
      </c>
      <c r="B217" s="193"/>
      <c r="C217" s="193"/>
      <c r="D217" s="193"/>
      <c r="E217" s="193"/>
      <c r="F217" s="193"/>
      <c r="G217" s="193"/>
      <c r="H217" s="239">
        <f t="shared" si="24"/>
        <v>0</v>
      </c>
      <c r="K217" s="3"/>
      <c r="L217" s="3"/>
      <c r="M217" s="3"/>
      <c r="N217" s="3"/>
      <c r="O217" s="3"/>
      <c r="P217" s="3"/>
      <c r="Q217" s="3"/>
      <c r="R217" s="3"/>
      <c r="S217" s="3"/>
    </row>
    <row r="218" spans="1:19" ht="15" hidden="1" outlineLevel="3" x14ac:dyDescent="0.35">
      <c r="A218" s="241" t="s">
        <v>265</v>
      </c>
      <c r="B218" s="240">
        <f t="shared" ref="B218:H218" si="25">SUM(B212:B217)</f>
        <v>2</v>
      </c>
      <c r="C218" s="240">
        <f t="shared" si="25"/>
        <v>0</v>
      </c>
      <c r="D218" s="240">
        <f t="shared" si="25"/>
        <v>1</v>
      </c>
      <c r="E218" s="240">
        <f t="shared" si="25"/>
        <v>0</v>
      </c>
      <c r="F218" s="240">
        <f t="shared" si="25"/>
        <v>5</v>
      </c>
      <c r="G218" s="240">
        <f t="shared" si="25"/>
        <v>6</v>
      </c>
      <c r="H218" s="240">
        <f t="shared" si="25"/>
        <v>14</v>
      </c>
      <c r="K218" s="3"/>
      <c r="L218" s="3"/>
      <c r="M218" s="3"/>
      <c r="N218" s="3"/>
      <c r="O218" s="3"/>
      <c r="P218" s="3"/>
      <c r="Q218" s="3"/>
      <c r="R218" s="3"/>
      <c r="S218" s="3"/>
    </row>
    <row r="219" spans="1:19" ht="18.5" hidden="1" outlineLevel="2" x14ac:dyDescent="0.45">
      <c r="A219" s="194" t="s">
        <v>266</v>
      </c>
      <c r="B219" s="194"/>
      <c r="C219" s="194"/>
      <c r="D219" s="194"/>
      <c r="E219" s="197">
        <f>H227</f>
        <v>2</v>
      </c>
      <c r="F219" s="194"/>
      <c r="G219" s="194"/>
      <c r="H219" s="194"/>
      <c r="K219" s="3"/>
      <c r="L219" s="3"/>
      <c r="M219" s="3"/>
      <c r="N219" s="3"/>
      <c r="O219" s="3"/>
      <c r="P219" s="3"/>
      <c r="Q219" s="3"/>
      <c r="R219" s="3"/>
      <c r="S219" s="3"/>
    </row>
    <row r="220" spans="1:19" ht="29.75" hidden="1" customHeight="1" outlineLevel="3" x14ac:dyDescent="0.35">
      <c r="A220" s="195" t="s">
        <v>262</v>
      </c>
      <c r="B220" s="196" t="s">
        <v>117</v>
      </c>
      <c r="C220" s="196" t="s">
        <v>118</v>
      </c>
      <c r="D220" s="196" t="s">
        <v>119</v>
      </c>
      <c r="E220" s="196" t="s">
        <v>120</v>
      </c>
      <c r="F220" s="196" t="s">
        <v>121</v>
      </c>
      <c r="G220" s="196" t="s">
        <v>122</v>
      </c>
      <c r="H220" s="239" t="s">
        <v>241</v>
      </c>
      <c r="K220" s="3"/>
      <c r="L220" s="3"/>
      <c r="M220" s="3"/>
      <c r="N220" s="3"/>
      <c r="O220" s="3"/>
      <c r="P220" s="3"/>
      <c r="Q220" s="3"/>
      <c r="R220" s="3"/>
      <c r="S220" s="3"/>
    </row>
    <row r="221" spans="1:19" ht="15.5" hidden="1" outlineLevel="3" x14ac:dyDescent="0.35">
      <c r="A221" s="185" t="s">
        <v>97</v>
      </c>
      <c r="B221" s="193">
        <f t="shared" ref="B221:G226" si="26">B212-B203</f>
        <v>0</v>
      </c>
      <c r="C221" s="193">
        <f t="shared" si="26"/>
        <v>0</v>
      </c>
      <c r="D221" s="193">
        <f t="shared" si="26"/>
        <v>0</v>
      </c>
      <c r="E221" s="193">
        <f t="shared" si="26"/>
        <v>0</v>
      </c>
      <c r="F221" s="193">
        <f t="shared" si="26"/>
        <v>0</v>
      </c>
      <c r="G221" s="193">
        <f t="shared" si="26"/>
        <v>0</v>
      </c>
      <c r="H221" s="239">
        <f t="shared" ref="H221:H226" si="27">SUM(B221:G221)</f>
        <v>0</v>
      </c>
      <c r="K221" s="3"/>
      <c r="L221" s="3"/>
      <c r="M221" s="3"/>
      <c r="N221" s="3"/>
      <c r="O221" s="3"/>
      <c r="P221" s="3"/>
      <c r="Q221" s="3"/>
      <c r="R221" s="3"/>
      <c r="S221" s="3"/>
    </row>
    <row r="222" spans="1:19" ht="15.5" hidden="1" outlineLevel="3" x14ac:dyDescent="0.35">
      <c r="A222" s="185" t="s">
        <v>98</v>
      </c>
      <c r="B222" s="193">
        <f t="shared" si="26"/>
        <v>0</v>
      </c>
      <c r="C222" s="193">
        <f t="shared" si="26"/>
        <v>0</v>
      </c>
      <c r="D222" s="193">
        <f t="shared" si="26"/>
        <v>-1</v>
      </c>
      <c r="E222" s="193">
        <f t="shared" si="26"/>
        <v>0</v>
      </c>
      <c r="F222" s="193">
        <f t="shared" si="26"/>
        <v>0</v>
      </c>
      <c r="G222" s="193">
        <f t="shared" si="26"/>
        <v>2</v>
      </c>
      <c r="H222" s="239">
        <f t="shared" si="27"/>
        <v>1</v>
      </c>
      <c r="K222" s="3"/>
      <c r="L222" s="3"/>
      <c r="M222" s="3"/>
      <c r="N222" s="3"/>
      <c r="O222" s="3"/>
      <c r="P222" s="3"/>
      <c r="Q222" s="3"/>
      <c r="R222" s="3"/>
      <c r="S222" s="3"/>
    </row>
    <row r="223" spans="1:19" ht="15.5" hidden="1" outlineLevel="3" x14ac:dyDescent="0.35">
      <c r="A223" s="185" t="s">
        <v>99</v>
      </c>
      <c r="B223" s="193">
        <f t="shared" si="26"/>
        <v>0</v>
      </c>
      <c r="C223" s="193">
        <f t="shared" si="26"/>
        <v>0</v>
      </c>
      <c r="D223" s="193">
        <f t="shared" si="26"/>
        <v>0</v>
      </c>
      <c r="E223" s="193">
        <f t="shared" si="26"/>
        <v>0</v>
      </c>
      <c r="F223" s="193">
        <f t="shared" si="26"/>
        <v>0</v>
      </c>
      <c r="G223" s="193">
        <f t="shared" si="26"/>
        <v>0</v>
      </c>
      <c r="H223" s="239">
        <f t="shared" si="27"/>
        <v>0</v>
      </c>
      <c r="K223" s="3"/>
      <c r="L223" s="3"/>
      <c r="M223" s="3"/>
      <c r="N223" s="3"/>
      <c r="O223" s="3"/>
      <c r="P223" s="3"/>
      <c r="Q223" s="3"/>
      <c r="R223" s="3"/>
      <c r="S223" s="3"/>
    </row>
    <row r="224" spans="1:19" ht="15.5" hidden="1" outlineLevel="3" x14ac:dyDescent="0.35">
      <c r="A224" s="185" t="s">
        <v>100</v>
      </c>
      <c r="B224" s="193">
        <f t="shared" si="26"/>
        <v>0</v>
      </c>
      <c r="C224" s="193">
        <f t="shared" si="26"/>
        <v>0</v>
      </c>
      <c r="D224" s="193">
        <f t="shared" si="26"/>
        <v>0</v>
      </c>
      <c r="E224" s="193">
        <f t="shared" si="26"/>
        <v>0</v>
      </c>
      <c r="F224" s="193">
        <f t="shared" si="26"/>
        <v>1</v>
      </c>
      <c r="G224" s="193">
        <f t="shared" si="26"/>
        <v>0</v>
      </c>
      <c r="H224" s="239">
        <f t="shared" si="27"/>
        <v>1</v>
      </c>
      <c r="K224" s="3"/>
      <c r="L224" s="3"/>
      <c r="M224" s="3"/>
      <c r="N224" s="3"/>
      <c r="O224" s="3"/>
      <c r="P224" s="3"/>
      <c r="Q224" s="3"/>
      <c r="R224" s="3"/>
      <c r="S224" s="3"/>
    </row>
    <row r="225" spans="1:19" ht="15.5" hidden="1" outlineLevel="3" x14ac:dyDescent="0.35">
      <c r="A225" s="185" t="s">
        <v>101</v>
      </c>
      <c r="B225" s="193">
        <f t="shared" si="26"/>
        <v>0</v>
      </c>
      <c r="C225" s="193">
        <f t="shared" si="26"/>
        <v>0</v>
      </c>
      <c r="D225" s="193">
        <f t="shared" si="26"/>
        <v>0</v>
      </c>
      <c r="E225" s="193">
        <f t="shared" si="26"/>
        <v>0</v>
      </c>
      <c r="F225" s="193">
        <f t="shared" si="26"/>
        <v>0</v>
      </c>
      <c r="G225" s="193">
        <f t="shared" si="26"/>
        <v>0</v>
      </c>
      <c r="H225" s="239">
        <f t="shared" si="27"/>
        <v>0</v>
      </c>
      <c r="K225" s="3"/>
      <c r="L225" s="3"/>
      <c r="M225" s="3"/>
      <c r="N225" s="3"/>
      <c r="O225" s="3"/>
      <c r="P225" s="3"/>
      <c r="Q225" s="3"/>
      <c r="R225" s="3"/>
      <c r="S225" s="3"/>
    </row>
    <row r="226" spans="1:19" ht="15.5" hidden="1" outlineLevel="3" x14ac:dyDescent="0.35">
      <c r="A226" s="185" t="s">
        <v>102</v>
      </c>
      <c r="B226" s="193">
        <f t="shared" si="26"/>
        <v>0</v>
      </c>
      <c r="C226" s="193">
        <f t="shared" si="26"/>
        <v>0</v>
      </c>
      <c r="D226" s="193">
        <f t="shared" si="26"/>
        <v>0</v>
      </c>
      <c r="E226" s="193">
        <f t="shared" si="26"/>
        <v>0</v>
      </c>
      <c r="F226" s="193">
        <f t="shared" si="26"/>
        <v>0</v>
      </c>
      <c r="G226" s="193">
        <f t="shared" si="26"/>
        <v>0</v>
      </c>
      <c r="H226" s="239">
        <f t="shared" si="27"/>
        <v>0</v>
      </c>
      <c r="K226" s="3"/>
      <c r="L226" s="3"/>
      <c r="M226" s="3"/>
      <c r="N226" s="3"/>
      <c r="O226" s="3"/>
      <c r="P226" s="3"/>
      <c r="Q226" s="3"/>
      <c r="R226" s="3"/>
      <c r="S226" s="3"/>
    </row>
    <row r="227" spans="1:19" ht="15" hidden="1" outlineLevel="3" x14ac:dyDescent="0.35">
      <c r="A227" s="241" t="s">
        <v>267</v>
      </c>
      <c r="B227" s="240">
        <f t="shared" ref="B227:H227" si="28">SUM(B221:B226)</f>
        <v>0</v>
      </c>
      <c r="C227" s="240">
        <f t="shared" si="28"/>
        <v>0</v>
      </c>
      <c r="D227" s="240">
        <f t="shared" si="28"/>
        <v>-1</v>
      </c>
      <c r="E227" s="240">
        <f t="shared" si="28"/>
        <v>0</v>
      </c>
      <c r="F227" s="240">
        <f t="shared" si="28"/>
        <v>1</v>
      </c>
      <c r="G227" s="240">
        <f t="shared" si="28"/>
        <v>2</v>
      </c>
      <c r="H227" s="240">
        <f t="shared" si="28"/>
        <v>2</v>
      </c>
      <c r="K227" s="3"/>
      <c r="L227" s="3"/>
      <c r="M227" s="3"/>
      <c r="N227" s="3"/>
      <c r="O227" s="3"/>
      <c r="P227" s="3"/>
      <c r="Q227" s="3"/>
      <c r="R227" s="3"/>
      <c r="S227" s="3"/>
    </row>
    <row r="228" spans="1:19" hidden="1" outlineLevel="2" x14ac:dyDescent="0.35"/>
    <row r="229" spans="1:19" outlineLevel="1" x14ac:dyDescent="0.35"/>
    <row r="230" spans="1:19" ht="18.75" customHeight="1" outlineLevel="1" collapsed="1" x14ac:dyDescent="0.45">
      <c r="A230" s="400" t="s">
        <v>268</v>
      </c>
      <c r="B230" s="400"/>
      <c r="C230" s="400"/>
      <c r="D230" s="400"/>
      <c r="E230" s="184">
        <f>H257</f>
        <v>4</v>
      </c>
      <c r="I230"/>
      <c r="K230" s="3"/>
      <c r="L230" s="3"/>
      <c r="M230" s="3"/>
      <c r="N230" s="3"/>
      <c r="O230" s="3"/>
      <c r="P230" s="3"/>
      <c r="Q230" s="3"/>
      <c r="R230" s="3"/>
      <c r="S230" s="3"/>
    </row>
    <row r="231" spans="1:19" ht="18.5" hidden="1" outlineLevel="2" collapsed="1" x14ac:dyDescent="0.45">
      <c r="A231" s="194" t="s">
        <v>261</v>
      </c>
      <c r="B231" s="194"/>
      <c r="C231" s="194"/>
      <c r="D231" s="194"/>
      <c r="E231" s="197">
        <f>H239</f>
        <v>12</v>
      </c>
      <c r="F231" s="194"/>
      <c r="G231" s="194"/>
      <c r="H231" s="194"/>
      <c r="K231" s="3"/>
      <c r="L231" s="3"/>
      <c r="M231" s="3"/>
      <c r="N231" s="3"/>
      <c r="O231" s="3"/>
      <c r="P231" s="3"/>
      <c r="Q231" s="3"/>
      <c r="R231" s="3"/>
      <c r="S231" s="3"/>
    </row>
    <row r="232" spans="1:19" ht="29.75" hidden="1" customHeight="1" outlineLevel="3" x14ac:dyDescent="0.35">
      <c r="A232" s="195" t="s">
        <v>262</v>
      </c>
      <c r="B232" s="196" t="s">
        <v>117</v>
      </c>
      <c r="C232" s="196" t="s">
        <v>118</v>
      </c>
      <c r="D232" s="196" t="s">
        <v>119</v>
      </c>
      <c r="E232" s="196" t="s">
        <v>120</v>
      </c>
      <c r="F232" s="196" t="s">
        <v>121</v>
      </c>
      <c r="G232" s="196" t="s">
        <v>122</v>
      </c>
      <c r="H232" s="239" t="s">
        <v>241</v>
      </c>
      <c r="K232" s="3"/>
      <c r="L232" s="3"/>
      <c r="M232" s="3"/>
      <c r="N232" s="3"/>
      <c r="O232" s="3"/>
      <c r="P232" s="3"/>
      <c r="Q232" s="3"/>
      <c r="R232" s="3"/>
      <c r="S232" s="3"/>
    </row>
    <row r="233" spans="1:19" ht="15.5" hidden="1" outlineLevel="3" x14ac:dyDescent="0.35">
      <c r="A233" s="185" t="s">
        <v>269</v>
      </c>
      <c r="B233" s="193">
        <v>2</v>
      </c>
      <c r="C233" s="193">
        <v>0</v>
      </c>
      <c r="D233" s="193">
        <v>0</v>
      </c>
      <c r="E233" s="193">
        <v>0</v>
      </c>
      <c r="F233" s="193">
        <v>0</v>
      </c>
      <c r="G233" s="193">
        <v>2</v>
      </c>
      <c r="H233" s="239">
        <f t="shared" ref="H233:H238" si="29">SUM(B233:G233)</f>
        <v>4</v>
      </c>
      <c r="K233" s="3"/>
      <c r="L233" s="3"/>
      <c r="M233" s="3"/>
      <c r="N233" s="3"/>
      <c r="O233" s="3"/>
      <c r="P233" s="3"/>
      <c r="Q233" s="3"/>
      <c r="R233" s="3"/>
      <c r="S233" s="3"/>
    </row>
    <row r="234" spans="1:19" ht="15.5" hidden="1" outlineLevel="3" x14ac:dyDescent="0.35">
      <c r="A234" s="185" t="s">
        <v>270</v>
      </c>
      <c r="B234" s="193">
        <v>0</v>
      </c>
      <c r="C234" s="193">
        <v>0</v>
      </c>
      <c r="D234" s="193">
        <v>2</v>
      </c>
      <c r="E234" s="193"/>
      <c r="F234" s="193">
        <v>2</v>
      </c>
      <c r="G234" s="193">
        <v>2</v>
      </c>
      <c r="H234" s="239">
        <f t="shared" si="29"/>
        <v>6</v>
      </c>
      <c r="K234" s="3"/>
      <c r="L234" s="3"/>
      <c r="M234" s="3"/>
      <c r="N234" s="3"/>
      <c r="O234" s="3"/>
      <c r="P234" s="3"/>
      <c r="Q234" s="3"/>
      <c r="R234" s="3"/>
      <c r="S234" s="3"/>
    </row>
    <row r="235" spans="1:19" ht="15.5" hidden="1" outlineLevel="3" x14ac:dyDescent="0.35">
      <c r="A235" s="185" t="s">
        <v>271</v>
      </c>
      <c r="B235" s="193">
        <v>0</v>
      </c>
      <c r="C235" s="193">
        <v>0</v>
      </c>
      <c r="D235" s="193">
        <v>0</v>
      </c>
      <c r="E235" s="193"/>
      <c r="F235" s="193">
        <v>0</v>
      </c>
      <c r="G235" s="193">
        <v>0</v>
      </c>
      <c r="H235" s="239">
        <f t="shared" si="29"/>
        <v>0</v>
      </c>
      <c r="K235" s="3"/>
      <c r="L235" s="3"/>
      <c r="M235" s="3"/>
      <c r="N235" s="3"/>
      <c r="O235" s="3"/>
      <c r="P235" s="3"/>
      <c r="Q235" s="3"/>
      <c r="R235" s="3"/>
      <c r="S235" s="3"/>
    </row>
    <row r="236" spans="1:19" ht="15.5" hidden="1" outlineLevel="3" x14ac:dyDescent="0.35">
      <c r="A236" s="185" t="s">
        <v>272</v>
      </c>
      <c r="B236" s="193"/>
      <c r="C236" s="193">
        <v>0</v>
      </c>
      <c r="D236" s="193"/>
      <c r="E236" s="193"/>
      <c r="F236" s="193">
        <v>2</v>
      </c>
      <c r="G236" s="193"/>
      <c r="H236" s="239">
        <f t="shared" si="29"/>
        <v>2</v>
      </c>
      <c r="K236" s="3"/>
      <c r="L236" s="3"/>
      <c r="M236" s="3"/>
      <c r="N236" s="3"/>
      <c r="O236" s="3"/>
      <c r="P236" s="3"/>
      <c r="Q236" s="3"/>
      <c r="R236" s="3"/>
      <c r="S236" s="3"/>
    </row>
    <row r="237" spans="1:19" ht="15.5" hidden="1" outlineLevel="3" x14ac:dyDescent="0.35">
      <c r="A237" s="185" t="s">
        <v>273</v>
      </c>
      <c r="B237" s="193"/>
      <c r="C237" s="193"/>
      <c r="D237" s="193"/>
      <c r="E237" s="193"/>
      <c r="F237" s="193"/>
      <c r="G237" s="193"/>
      <c r="H237" s="239">
        <f t="shared" si="29"/>
        <v>0</v>
      </c>
      <c r="K237" s="3"/>
      <c r="L237" s="3"/>
      <c r="M237" s="3"/>
      <c r="N237" s="3"/>
      <c r="O237" s="3"/>
      <c r="P237" s="3"/>
      <c r="Q237" s="3"/>
      <c r="R237" s="3"/>
      <c r="S237" s="3"/>
    </row>
    <row r="238" spans="1:19" ht="15.5" hidden="1" outlineLevel="3" x14ac:dyDescent="0.35">
      <c r="A238" s="185" t="s">
        <v>274</v>
      </c>
      <c r="B238" s="193"/>
      <c r="C238" s="193"/>
      <c r="D238" s="193"/>
      <c r="E238" s="193"/>
      <c r="F238" s="193"/>
      <c r="G238" s="193"/>
      <c r="H238" s="239">
        <f t="shared" si="29"/>
        <v>0</v>
      </c>
      <c r="K238" s="3"/>
      <c r="L238" s="3"/>
      <c r="M238" s="3"/>
      <c r="N238" s="3"/>
      <c r="O238" s="3"/>
      <c r="P238" s="3"/>
      <c r="Q238" s="3"/>
      <c r="R238" s="3"/>
      <c r="S238" s="3"/>
    </row>
    <row r="239" spans="1:19" ht="15" hidden="1" outlineLevel="3" x14ac:dyDescent="0.35">
      <c r="A239" s="241" t="s">
        <v>263</v>
      </c>
      <c r="B239" s="240">
        <f t="shared" ref="B239:H239" si="30">SUM(B233:B238)</f>
        <v>2</v>
      </c>
      <c r="C239" s="240">
        <f t="shared" si="30"/>
        <v>0</v>
      </c>
      <c r="D239" s="240">
        <f t="shared" si="30"/>
        <v>2</v>
      </c>
      <c r="E239" s="240">
        <f t="shared" si="30"/>
        <v>0</v>
      </c>
      <c r="F239" s="240">
        <f t="shared" si="30"/>
        <v>4</v>
      </c>
      <c r="G239" s="240">
        <f t="shared" si="30"/>
        <v>4</v>
      </c>
      <c r="H239" s="240">
        <f t="shared" si="30"/>
        <v>12</v>
      </c>
      <c r="K239" s="3"/>
      <c r="L239" s="3"/>
      <c r="M239" s="3"/>
      <c r="N239" s="3"/>
      <c r="O239" s="3"/>
      <c r="P239" s="3"/>
      <c r="Q239" s="3"/>
      <c r="R239" s="3"/>
      <c r="S239" s="3"/>
    </row>
    <row r="240" spans="1:19" ht="18.5" hidden="1" outlineLevel="2" collapsed="1" x14ac:dyDescent="0.45">
      <c r="A240" s="194" t="s">
        <v>264</v>
      </c>
      <c r="B240" s="194"/>
      <c r="C240" s="194"/>
      <c r="D240" s="194"/>
      <c r="E240" s="197">
        <f>H248</f>
        <v>16</v>
      </c>
      <c r="F240" s="194"/>
      <c r="G240" s="194"/>
      <c r="H240" s="194"/>
      <c r="K240" s="3"/>
      <c r="L240" s="3"/>
      <c r="M240" s="3"/>
      <c r="N240" s="3"/>
      <c r="O240" s="3"/>
      <c r="P240" s="3"/>
      <c r="Q240" s="3"/>
      <c r="R240" s="3"/>
      <c r="S240" s="3"/>
    </row>
    <row r="241" spans="1:19" ht="29.75" hidden="1" customHeight="1" outlineLevel="3" x14ac:dyDescent="0.35">
      <c r="A241" s="195" t="s">
        <v>262</v>
      </c>
      <c r="B241" s="196" t="s">
        <v>117</v>
      </c>
      <c r="C241" s="196" t="s">
        <v>118</v>
      </c>
      <c r="D241" s="196" t="s">
        <v>119</v>
      </c>
      <c r="E241" s="196" t="s">
        <v>120</v>
      </c>
      <c r="F241" s="196" t="s">
        <v>121</v>
      </c>
      <c r="G241" s="196" t="s">
        <v>122</v>
      </c>
      <c r="H241" s="239" t="s">
        <v>241</v>
      </c>
      <c r="K241" s="3"/>
      <c r="L241" s="3"/>
      <c r="M241" s="3"/>
      <c r="N241" s="3"/>
      <c r="O241" s="3"/>
      <c r="P241" s="3"/>
      <c r="Q241" s="3"/>
      <c r="R241" s="3"/>
      <c r="S241" s="3"/>
    </row>
    <row r="242" spans="1:19" ht="15.5" hidden="1" outlineLevel="3" x14ac:dyDescent="0.35">
      <c r="A242" s="185" t="s">
        <v>269</v>
      </c>
      <c r="B242" s="193">
        <v>2</v>
      </c>
      <c r="C242" s="193">
        <v>0</v>
      </c>
      <c r="D242" s="193">
        <v>0</v>
      </c>
      <c r="E242" s="193">
        <v>0</v>
      </c>
      <c r="F242" s="193">
        <v>0</v>
      </c>
      <c r="G242" s="193">
        <v>2</v>
      </c>
      <c r="H242" s="239">
        <f t="shared" ref="H242:H247" si="31">SUM(B242:G242)</f>
        <v>4</v>
      </c>
      <c r="K242" s="3"/>
      <c r="L242" s="3"/>
      <c r="M242" s="3"/>
      <c r="N242" s="3"/>
      <c r="O242" s="3"/>
      <c r="P242" s="3"/>
      <c r="Q242" s="3"/>
      <c r="R242" s="3"/>
      <c r="S242" s="3"/>
    </row>
    <row r="243" spans="1:19" ht="15.5" hidden="1" outlineLevel="3" x14ac:dyDescent="0.35">
      <c r="A243" s="185" t="s">
        <v>270</v>
      </c>
      <c r="B243" s="193">
        <v>0</v>
      </c>
      <c r="C243" s="193">
        <v>0</v>
      </c>
      <c r="D243" s="193">
        <v>1</v>
      </c>
      <c r="E243" s="193"/>
      <c r="F243" s="193">
        <v>2</v>
      </c>
      <c r="G243" s="193">
        <v>6</v>
      </c>
      <c r="H243" s="239">
        <f t="shared" si="31"/>
        <v>9</v>
      </c>
      <c r="K243" s="3"/>
      <c r="L243" s="3"/>
      <c r="M243" s="3"/>
      <c r="N243" s="3"/>
      <c r="O243" s="3"/>
      <c r="P243" s="3"/>
      <c r="Q243" s="3"/>
      <c r="R243" s="3"/>
      <c r="S243" s="3"/>
    </row>
    <row r="244" spans="1:19" ht="15.5" hidden="1" outlineLevel="3" x14ac:dyDescent="0.35">
      <c r="A244" s="185" t="s">
        <v>271</v>
      </c>
      <c r="B244" s="193">
        <v>0</v>
      </c>
      <c r="C244" s="193">
        <v>0</v>
      </c>
      <c r="D244" s="193">
        <v>0</v>
      </c>
      <c r="E244" s="193"/>
      <c r="F244" s="193">
        <v>0</v>
      </c>
      <c r="G244" s="193">
        <v>0</v>
      </c>
      <c r="H244" s="239">
        <f t="shared" si="31"/>
        <v>0</v>
      </c>
      <c r="K244" s="3"/>
      <c r="L244" s="3"/>
      <c r="M244" s="3"/>
      <c r="N244" s="3"/>
      <c r="O244" s="3"/>
      <c r="P244" s="3"/>
      <c r="Q244" s="3"/>
      <c r="R244" s="3"/>
      <c r="S244" s="3"/>
    </row>
    <row r="245" spans="1:19" ht="15.5" hidden="1" outlineLevel="3" x14ac:dyDescent="0.35">
      <c r="A245" s="185" t="s">
        <v>272</v>
      </c>
      <c r="B245" s="193"/>
      <c r="C245" s="193">
        <v>0</v>
      </c>
      <c r="D245" s="193"/>
      <c r="E245" s="193"/>
      <c r="F245" s="193">
        <v>3</v>
      </c>
      <c r="G245" s="193"/>
      <c r="H245" s="239">
        <f t="shared" si="31"/>
        <v>3</v>
      </c>
      <c r="K245" s="3"/>
      <c r="L245" s="3"/>
      <c r="M245" s="3"/>
      <c r="N245" s="3"/>
      <c r="O245" s="3"/>
      <c r="P245" s="3"/>
      <c r="Q245" s="3"/>
      <c r="R245" s="3"/>
      <c r="S245" s="3"/>
    </row>
    <row r="246" spans="1:19" ht="15.5" hidden="1" outlineLevel="3" x14ac:dyDescent="0.35">
      <c r="A246" s="185" t="s">
        <v>273</v>
      </c>
      <c r="B246" s="193"/>
      <c r="C246" s="193"/>
      <c r="D246" s="193"/>
      <c r="E246" s="193"/>
      <c r="F246" s="193"/>
      <c r="G246" s="193"/>
      <c r="H246" s="239">
        <f t="shared" si="31"/>
        <v>0</v>
      </c>
      <c r="K246" s="3"/>
      <c r="L246" s="3"/>
      <c r="M246" s="3"/>
      <c r="N246" s="3"/>
      <c r="O246" s="3"/>
      <c r="P246" s="3"/>
      <c r="Q246" s="3"/>
      <c r="R246" s="3"/>
      <c r="S246" s="3"/>
    </row>
    <row r="247" spans="1:19" ht="15.5" hidden="1" outlineLevel="3" x14ac:dyDescent="0.35">
      <c r="A247" s="185" t="s">
        <v>274</v>
      </c>
      <c r="B247" s="193"/>
      <c r="C247" s="193"/>
      <c r="D247" s="193"/>
      <c r="E247" s="193"/>
      <c r="F247" s="193"/>
      <c r="G247" s="193"/>
      <c r="H247" s="239">
        <f t="shared" si="31"/>
        <v>0</v>
      </c>
      <c r="K247" s="3"/>
      <c r="L247" s="3"/>
      <c r="M247" s="3"/>
      <c r="N247" s="3"/>
      <c r="O247" s="3"/>
      <c r="P247" s="3"/>
      <c r="Q247" s="3"/>
      <c r="R247" s="3"/>
      <c r="S247" s="3"/>
    </row>
    <row r="248" spans="1:19" ht="15" hidden="1" outlineLevel="3" x14ac:dyDescent="0.35">
      <c r="A248" s="241" t="s">
        <v>265</v>
      </c>
      <c r="B248" s="240">
        <f t="shared" ref="B248:H248" si="32">SUM(B242:B247)</f>
        <v>2</v>
      </c>
      <c r="C248" s="240">
        <f t="shared" si="32"/>
        <v>0</v>
      </c>
      <c r="D248" s="240">
        <f t="shared" si="32"/>
        <v>1</v>
      </c>
      <c r="E248" s="240">
        <f t="shared" si="32"/>
        <v>0</v>
      </c>
      <c r="F248" s="240">
        <f t="shared" si="32"/>
        <v>5</v>
      </c>
      <c r="G248" s="240">
        <f t="shared" si="32"/>
        <v>8</v>
      </c>
      <c r="H248" s="240">
        <f t="shared" si="32"/>
        <v>16</v>
      </c>
      <c r="K248" s="3"/>
      <c r="L248" s="3"/>
      <c r="M248" s="3"/>
      <c r="N248" s="3"/>
      <c r="O248" s="3"/>
      <c r="P248" s="3"/>
      <c r="Q248" s="3"/>
      <c r="R248" s="3"/>
      <c r="S248" s="3"/>
    </row>
    <row r="249" spans="1:19" ht="18.5" hidden="1" outlineLevel="2" x14ac:dyDescent="0.45">
      <c r="A249" s="194" t="s">
        <v>266</v>
      </c>
      <c r="B249" s="194"/>
      <c r="C249" s="194"/>
      <c r="D249" s="194"/>
      <c r="E249" s="197">
        <f>H257</f>
        <v>4</v>
      </c>
      <c r="F249" s="194"/>
      <c r="G249" s="194"/>
      <c r="H249" s="194"/>
      <c r="K249" s="3"/>
      <c r="L249" s="3"/>
      <c r="M249" s="3"/>
      <c r="N249" s="3"/>
      <c r="O249" s="3"/>
      <c r="P249" s="3"/>
      <c r="Q249" s="3"/>
      <c r="R249" s="3"/>
      <c r="S249" s="3"/>
    </row>
    <row r="250" spans="1:19" ht="29.75" hidden="1" customHeight="1" outlineLevel="3" x14ac:dyDescent="0.35">
      <c r="A250" s="195" t="s">
        <v>262</v>
      </c>
      <c r="B250" s="196" t="s">
        <v>117</v>
      </c>
      <c r="C250" s="196" t="s">
        <v>118</v>
      </c>
      <c r="D250" s="196" t="s">
        <v>119</v>
      </c>
      <c r="E250" s="196" t="s">
        <v>120</v>
      </c>
      <c r="F250" s="196" t="s">
        <v>121</v>
      </c>
      <c r="G250" s="196" t="s">
        <v>122</v>
      </c>
      <c r="H250" s="239" t="s">
        <v>241</v>
      </c>
      <c r="K250" s="3"/>
      <c r="L250" s="3"/>
      <c r="M250" s="3"/>
      <c r="N250" s="3"/>
      <c r="O250" s="3"/>
      <c r="P250" s="3"/>
      <c r="Q250" s="3"/>
      <c r="R250" s="3"/>
      <c r="S250" s="3"/>
    </row>
    <row r="251" spans="1:19" ht="15.5" hidden="1" outlineLevel="3" x14ac:dyDescent="0.35">
      <c r="A251" s="185" t="s">
        <v>269</v>
      </c>
      <c r="B251" s="193">
        <f t="shared" ref="B251:G256" si="33">B242-B233</f>
        <v>0</v>
      </c>
      <c r="C251" s="193">
        <f t="shared" si="33"/>
        <v>0</v>
      </c>
      <c r="D251" s="193">
        <f t="shared" si="33"/>
        <v>0</v>
      </c>
      <c r="E251" s="193">
        <f t="shared" si="33"/>
        <v>0</v>
      </c>
      <c r="F251" s="193">
        <f t="shared" si="33"/>
        <v>0</v>
      </c>
      <c r="G251" s="193">
        <f t="shared" si="33"/>
        <v>0</v>
      </c>
      <c r="H251" s="239">
        <f t="shared" ref="H251:H256" si="34">SUM(B251:G251)</f>
        <v>0</v>
      </c>
      <c r="K251" s="3"/>
      <c r="L251" s="3"/>
      <c r="M251" s="3"/>
      <c r="N251" s="3"/>
      <c r="O251" s="3"/>
      <c r="P251" s="3"/>
      <c r="Q251" s="3"/>
      <c r="R251" s="3"/>
      <c r="S251" s="3"/>
    </row>
    <row r="252" spans="1:19" ht="15.5" hidden="1" outlineLevel="3" x14ac:dyDescent="0.35">
      <c r="A252" s="185" t="s">
        <v>270</v>
      </c>
      <c r="B252" s="193">
        <f t="shared" si="33"/>
        <v>0</v>
      </c>
      <c r="C252" s="193">
        <f t="shared" si="33"/>
        <v>0</v>
      </c>
      <c r="D252" s="193">
        <f t="shared" si="33"/>
        <v>-1</v>
      </c>
      <c r="E252" s="193">
        <f t="shared" si="33"/>
        <v>0</v>
      </c>
      <c r="F252" s="193">
        <f t="shared" si="33"/>
        <v>0</v>
      </c>
      <c r="G252" s="193">
        <f t="shared" si="33"/>
        <v>4</v>
      </c>
      <c r="H252" s="239">
        <f t="shared" si="34"/>
        <v>3</v>
      </c>
      <c r="K252" s="3"/>
      <c r="L252" s="3"/>
      <c r="M252" s="3"/>
      <c r="N252" s="3"/>
      <c r="O252" s="3"/>
      <c r="P252" s="3"/>
      <c r="Q252" s="3"/>
      <c r="R252" s="3"/>
      <c r="S252" s="3"/>
    </row>
    <row r="253" spans="1:19" ht="15.5" hidden="1" outlineLevel="3" x14ac:dyDescent="0.35">
      <c r="A253" s="185" t="s">
        <v>271</v>
      </c>
      <c r="B253" s="193">
        <f t="shared" si="33"/>
        <v>0</v>
      </c>
      <c r="C253" s="193">
        <f t="shared" si="33"/>
        <v>0</v>
      </c>
      <c r="D253" s="193">
        <f t="shared" si="33"/>
        <v>0</v>
      </c>
      <c r="E253" s="193">
        <f t="shared" si="33"/>
        <v>0</v>
      </c>
      <c r="F253" s="193">
        <f t="shared" si="33"/>
        <v>0</v>
      </c>
      <c r="G253" s="193">
        <f t="shared" si="33"/>
        <v>0</v>
      </c>
      <c r="H253" s="239">
        <f t="shared" si="34"/>
        <v>0</v>
      </c>
      <c r="K253" s="3"/>
      <c r="L253" s="3"/>
      <c r="M253" s="3"/>
      <c r="N253" s="3"/>
      <c r="O253" s="3"/>
      <c r="P253" s="3"/>
      <c r="Q253" s="3"/>
      <c r="R253" s="3"/>
      <c r="S253" s="3"/>
    </row>
    <row r="254" spans="1:19" ht="15.5" hidden="1" outlineLevel="3" x14ac:dyDescent="0.35">
      <c r="A254" s="185" t="s">
        <v>272</v>
      </c>
      <c r="B254" s="193">
        <f t="shared" si="33"/>
        <v>0</v>
      </c>
      <c r="C254" s="193">
        <f t="shared" si="33"/>
        <v>0</v>
      </c>
      <c r="D254" s="193">
        <f t="shared" si="33"/>
        <v>0</v>
      </c>
      <c r="E254" s="193">
        <f t="shared" si="33"/>
        <v>0</v>
      </c>
      <c r="F254" s="193">
        <f t="shared" si="33"/>
        <v>1</v>
      </c>
      <c r="G254" s="193">
        <f t="shared" si="33"/>
        <v>0</v>
      </c>
      <c r="H254" s="239">
        <f t="shared" si="34"/>
        <v>1</v>
      </c>
      <c r="K254" s="3"/>
      <c r="L254" s="3"/>
      <c r="M254" s="3"/>
      <c r="N254" s="3"/>
      <c r="O254" s="3"/>
      <c r="P254" s="3"/>
      <c r="Q254" s="3"/>
      <c r="R254" s="3"/>
      <c r="S254" s="3"/>
    </row>
    <row r="255" spans="1:19" ht="15.5" hidden="1" outlineLevel="3" x14ac:dyDescent="0.35">
      <c r="A255" s="185" t="s">
        <v>273</v>
      </c>
      <c r="B255" s="193">
        <f t="shared" si="33"/>
        <v>0</v>
      </c>
      <c r="C255" s="193">
        <f t="shared" si="33"/>
        <v>0</v>
      </c>
      <c r="D255" s="193">
        <f t="shared" si="33"/>
        <v>0</v>
      </c>
      <c r="E255" s="193">
        <f t="shared" si="33"/>
        <v>0</v>
      </c>
      <c r="F255" s="193">
        <f t="shared" si="33"/>
        <v>0</v>
      </c>
      <c r="G255" s="193">
        <f t="shared" si="33"/>
        <v>0</v>
      </c>
      <c r="H255" s="239">
        <f t="shared" si="34"/>
        <v>0</v>
      </c>
      <c r="K255" s="3"/>
      <c r="L255" s="3"/>
      <c r="M255" s="3"/>
      <c r="N255" s="3"/>
      <c r="O255" s="3"/>
      <c r="P255" s="3"/>
      <c r="Q255" s="3"/>
      <c r="R255" s="3"/>
      <c r="S255" s="3"/>
    </row>
    <row r="256" spans="1:19" ht="15.5" hidden="1" outlineLevel="3" x14ac:dyDescent="0.35">
      <c r="A256" s="185" t="s">
        <v>274</v>
      </c>
      <c r="B256" s="193">
        <f t="shared" si="33"/>
        <v>0</v>
      </c>
      <c r="C256" s="193">
        <f t="shared" si="33"/>
        <v>0</v>
      </c>
      <c r="D256" s="193">
        <f t="shared" si="33"/>
        <v>0</v>
      </c>
      <c r="E256" s="193">
        <f t="shared" si="33"/>
        <v>0</v>
      </c>
      <c r="F256" s="193">
        <f t="shared" si="33"/>
        <v>0</v>
      </c>
      <c r="G256" s="193">
        <f t="shared" si="33"/>
        <v>0</v>
      </c>
      <c r="H256" s="239">
        <f t="shared" si="34"/>
        <v>0</v>
      </c>
      <c r="K256" s="3"/>
      <c r="L256" s="3"/>
      <c r="M256" s="3"/>
      <c r="N256" s="3"/>
      <c r="O256" s="3"/>
      <c r="P256" s="3"/>
      <c r="Q256" s="3"/>
      <c r="R256" s="3"/>
      <c r="S256" s="3"/>
    </row>
    <row r="257" spans="1:19" ht="15" hidden="1" outlineLevel="3" x14ac:dyDescent="0.35">
      <c r="A257" s="241" t="s">
        <v>267</v>
      </c>
      <c r="B257" s="240">
        <f t="shared" ref="B257:H257" si="35">SUM(B251:B256)</f>
        <v>0</v>
      </c>
      <c r="C257" s="240">
        <f t="shared" si="35"/>
        <v>0</v>
      </c>
      <c r="D257" s="240">
        <f t="shared" si="35"/>
        <v>-1</v>
      </c>
      <c r="E257" s="240">
        <f t="shared" si="35"/>
        <v>0</v>
      </c>
      <c r="F257" s="240">
        <f t="shared" si="35"/>
        <v>1</v>
      </c>
      <c r="G257" s="240">
        <f t="shared" si="35"/>
        <v>4</v>
      </c>
      <c r="H257" s="240">
        <f t="shared" si="35"/>
        <v>4</v>
      </c>
      <c r="K257" s="3"/>
      <c r="L257" s="3"/>
      <c r="M257" s="3"/>
      <c r="N257" s="3"/>
      <c r="O257" s="3"/>
      <c r="P257" s="3"/>
      <c r="Q257" s="3"/>
      <c r="R257" s="3"/>
      <c r="S257" s="3"/>
    </row>
    <row r="258" spans="1:19" hidden="1" outlineLevel="2" x14ac:dyDescent="0.35"/>
    <row r="259" spans="1:19" outlineLevel="1" x14ac:dyDescent="0.35"/>
    <row r="260" spans="1:19" ht="18.75" customHeight="1" outlineLevel="1" collapsed="1" x14ac:dyDescent="0.45">
      <c r="A260" s="400" t="s">
        <v>275</v>
      </c>
      <c r="B260" s="400"/>
      <c r="C260" s="400"/>
      <c r="D260" s="400"/>
      <c r="E260" s="184">
        <f>H287</f>
        <v>4</v>
      </c>
      <c r="I260"/>
      <c r="K260" s="3"/>
      <c r="L260" s="3"/>
      <c r="M260" s="3"/>
      <c r="N260" s="3"/>
      <c r="O260" s="3"/>
      <c r="P260" s="3"/>
      <c r="Q260" s="3"/>
      <c r="R260" s="3"/>
      <c r="S260" s="3"/>
    </row>
    <row r="261" spans="1:19" ht="18.5" hidden="1" outlineLevel="2" collapsed="1" x14ac:dyDescent="0.45">
      <c r="A261" s="194" t="s">
        <v>261</v>
      </c>
      <c r="B261" s="194"/>
      <c r="C261" s="194"/>
      <c r="D261" s="194"/>
      <c r="E261" s="228">
        <f>H269</f>
        <v>12</v>
      </c>
      <c r="F261" s="144"/>
      <c r="G261" s="144"/>
      <c r="H261" s="144"/>
      <c r="K261" s="3"/>
      <c r="L261" s="3"/>
      <c r="M261" s="3"/>
      <c r="N261" s="3"/>
      <c r="O261" s="3"/>
      <c r="P261" s="3"/>
      <c r="Q261" s="3"/>
      <c r="R261" s="3"/>
      <c r="S261" s="3"/>
    </row>
    <row r="262" spans="1:19" ht="29.75" hidden="1" customHeight="1" outlineLevel="3" x14ac:dyDescent="0.35">
      <c r="A262" s="195" t="s">
        <v>262</v>
      </c>
      <c r="B262" s="196" t="s">
        <v>117</v>
      </c>
      <c r="C262" s="196" t="s">
        <v>118</v>
      </c>
      <c r="D262" s="196" t="s">
        <v>119</v>
      </c>
      <c r="E262" s="229" t="s">
        <v>120</v>
      </c>
      <c r="F262" s="224" t="s">
        <v>121</v>
      </c>
      <c r="G262" s="224" t="s">
        <v>122</v>
      </c>
      <c r="H262" s="258" t="s">
        <v>241</v>
      </c>
      <c r="K262" s="3"/>
      <c r="L262" s="3"/>
      <c r="M262" s="3"/>
      <c r="N262" s="3"/>
      <c r="O262" s="3"/>
      <c r="P262" s="3"/>
      <c r="Q262" s="3"/>
      <c r="R262" s="3"/>
      <c r="S262" s="3"/>
    </row>
    <row r="263" spans="1:19" ht="15.5" hidden="1" outlineLevel="3" x14ac:dyDescent="0.35">
      <c r="A263" s="72" t="s">
        <v>276</v>
      </c>
      <c r="B263" s="193">
        <v>2</v>
      </c>
      <c r="C263" s="193">
        <v>0</v>
      </c>
      <c r="D263" s="193">
        <v>0</v>
      </c>
      <c r="E263" s="230">
        <v>0</v>
      </c>
      <c r="F263" s="231">
        <v>0</v>
      </c>
      <c r="G263" s="231">
        <v>2</v>
      </c>
      <c r="H263" s="258">
        <f t="shared" ref="H263:H268" si="36">SUM(B263:G263)</f>
        <v>4</v>
      </c>
      <c r="K263" s="3"/>
      <c r="L263" s="3"/>
      <c r="M263" s="3"/>
      <c r="N263" s="3"/>
      <c r="O263" s="3"/>
      <c r="P263" s="3"/>
      <c r="Q263" s="3"/>
      <c r="R263" s="3"/>
      <c r="S263" s="3"/>
    </row>
    <row r="264" spans="1:19" ht="15.5" hidden="1" outlineLevel="3" x14ac:dyDescent="0.35">
      <c r="A264" s="72" t="s">
        <v>276</v>
      </c>
      <c r="B264" s="193">
        <v>0</v>
      </c>
      <c r="C264" s="193">
        <v>0</v>
      </c>
      <c r="D264" s="193">
        <v>2</v>
      </c>
      <c r="E264" s="230"/>
      <c r="F264" s="231">
        <v>2</v>
      </c>
      <c r="G264" s="231">
        <v>2</v>
      </c>
      <c r="H264" s="258">
        <f t="shared" si="36"/>
        <v>6</v>
      </c>
      <c r="K264" s="3"/>
      <c r="L264" s="3"/>
      <c r="M264" s="3"/>
      <c r="N264" s="3"/>
      <c r="O264" s="3"/>
      <c r="P264" s="3"/>
      <c r="Q264" s="3"/>
      <c r="R264" s="3"/>
      <c r="S264" s="3"/>
    </row>
    <row r="265" spans="1:19" ht="15.5" hidden="1" outlineLevel="3" x14ac:dyDescent="0.35">
      <c r="A265" s="72" t="s">
        <v>92</v>
      </c>
      <c r="B265" s="193">
        <v>0</v>
      </c>
      <c r="C265" s="193">
        <v>0</v>
      </c>
      <c r="D265" s="193">
        <v>0</v>
      </c>
      <c r="E265" s="230"/>
      <c r="F265" s="231">
        <v>0</v>
      </c>
      <c r="G265" s="231">
        <v>0</v>
      </c>
      <c r="H265" s="258">
        <f t="shared" si="36"/>
        <v>0</v>
      </c>
      <c r="K265" s="3"/>
      <c r="L265" s="3"/>
      <c r="M265" s="3"/>
      <c r="N265" s="3"/>
      <c r="O265" s="3"/>
      <c r="P265" s="3"/>
      <c r="Q265" s="3"/>
      <c r="R265" s="3"/>
      <c r="S265" s="3"/>
    </row>
    <row r="266" spans="1:19" ht="15.5" hidden="1" outlineLevel="3" x14ac:dyDescent="0.35">
      <c r="A266" s="72" t="s">
        <v>128</v>
      </c>
      <c r="B266" s="193"/>
      <c r="C266" s="193">
        <v>0</v>
      </c>
      <c r="D266" s="193"/>
      <c r="E266" s="230"/>
      <c r="F266" s="231">
        <v>2</v>
      </c>
      <c r="G266" s="231"/>
      <c r="H266" s="258">
        <f t="shared" si="36"/>
        <v>2</v>
      </c>
      <c r="K266" s="3"/>
      <c r="L266" s="3"/>
      <c r="M266" s="3"/>
      <c r="N266" s="3"/>
      <c r="O266" s="3"/>
      <c r="P266" s="3"/>
      <c r="Q266" s="3"/>
      <c r="R266" s="3"/>
      <c r="S266" s="3"/>
    </row>
    <row r="267" spans="1:19" ht="15.5" hidden="1" outlineLevel="3" x14ac:dyDescent="0.35">
      <c r="A267" s="72" t="s">
        <v>128</v>
      </c>
      <c r="B267" s="193"/>
      <c r="C267" s="193"/>
      <c r="D267" s="193"/>
      <c r="E267" s="230"/>
      <c r="F267" s="231"/>
      <c r="G267" s="231"/>
      <c r="H267" s="258">
        <f t="shared" si="36"/>
        <v>0</v>
      </c>
      <c r="K267" s="3"/>
      <c r="L267" s="3"/>
      <c r="M267" s="3"/>
      <c r="N267" s="3"/>
      <c r="O267" s="3"/>
      <c r="P267" s="3"/>
      <c r="Q267" s="3"/>
      <c r="R267" s="3"/>
      <c r="S267" s="3"/>
    </row>
    <row r="268" spans="1:19" ht="15.5" hidden="1" outlineLevel="3" x14ac:dyDescent="0.35">
      <c r="A268" s="72" t="s">
        <v>128</v>
      </c>
      <c r="B268" s="193"/>
      <c r="C268" s="193"/>
      <c r="D268" s="193"/>
      <c r="E268" s="230"/>
      <c r="F268" s="231"/>
      <c r="G268" s="231"/>
      <c r="H268" s="258">
        <f t="shared" si="36"/>
        <v>0</v>
      </c>
      <c r="K268" s="3"/>
      <c r="L268" s="3"/>
      <c r="M268" s="3"/>
      <c r="N268" s="3"/>
      <c r="O268" s="3"/>
      <c r="P268" s="3"/>
      <c r="Q268" s="3"/>
      <c r="R268" s="3"/>
      <c r="S268" s="3"/>
    </row>
    <row r="269" spans="1:19" ht="15" hidden="1" outlineLevel="3" x14ac:dyDescent="0.35">
      <c r="A269" s="241" t="s">
        <v>263</v>
      </c>
      <c r="B269" s="240">
        <f t="shared" ref="B269:H269" si="37">SUM(B263:B268)</f>
        <v>2</v>
      </c>
      <c r="C269" s="240">
        <f t="shared" si="37"/>
        <v>0</v>
      </c>
      <c r="D269" s="240">
        <f t="shared" si="37"/>
        <v>2</v>
      </c>
      <c r="E269" s="256">
        <f t="shared" si="37"/>
        <v>0</v>
      </c>
      <c r="F269" s="257">
        <f t="shared" si="37"/>
        <v>4</v>
      </c>
      <c r="G269" s="257">
        <f t="shared" si="37"/>
        <v>4</v>
      </c>
      <c r="H269" s="257">
        <f t="shared" si="37"/>
        <v>12</v>
      </c>
      <c r="K269" s="3"/>
      <c r="L269" s="3"/>
      <c r="M269" s="3"/>
      <c r="N269" s="3"/>
      <c r="O269" s="3"/>
      <c r="P269" s="3"/>
      <c r="Q269" s="3"/>
      <c r="R269" s="3"/>
      <c r="S269" s="3"/>
    </row>
    <row r="270" spans="1:19" ht="18.5" hidden="1" outlineLevel="2" collapsed="1" x14ac:dyDescent="0.45">
      <c r="A270" s="194" t="s">
        <v>264</v>
      </c>
      <c r="B270" s="194"/>
      <c r="C270" s="194"/>
      <c r="D270" s="194"/>
      <c r="E270" s="228">
        <f>H278</f>
        <v>16</v>
      </c>
      <c r="F270" s="144"/>
      <c r="G270" s="144"/>
      <c r="H270" s="144"/>
      <c r="K270" s="3"/>
      <c r="L270" s="3"/>
      <c r="M270" s="3"/>
      <c r="N270" s="3"/>
      <c r="O270" s="3"/>
      <c r="P270" s="3"/>
      <c r="Q270" s="3"/>
      <c r="R270" s="3"/>
      <c r="S270" s="3"/>
    </row>
    <row r="271" spans="1:19" ht="29.75" hidden="1" customHeight="1" outlineLevel="3" x14ac:dyDescent="0.35">
      <c r="A271" s="195" t="s">
        <v>262</v>
      </c>
      <c r="B271" s="196" t="s">
        <v>117</v>
      </c>
      <c r="C271" s="196" t="s">
        <v>118</v>
      </c>
      <c r="D271" s="196" t="s">
        <v>119</v>
      </c>
      <c r="E271" s="229" t="s">
        <v>120</v>
      </c>
      <c r="F271" s="224" t="s">
        <v>121</v>
      </c>
      <c r="G271" s="224" t="s">
        <v>122</v>
      </c>
      <c r="H271" s="258" t="s">
        <v>241</v>
      </c>
      <c r="K271" s="3"/>
      <c r="L271" s="3"/>
      <c r="M271" s="3"/>
      <c r="N271" s="3"/>
      <c r="O271" s="3"/>
      <c r="P271" s="3"/>
      <c r="Q271" s="3"/>
      <c r="R271" s="3"/>
      <c r="S271" s="3"/>
    </row>
    <row r="272" spans="1:19" ht="15.5" hidden="1" outlineLevel="3" x14ac:dyDescent="0.35">
      <c r="A272" s="72" t="s">
        <v>276</v>
      </c>
      <c r="B272" s="193">
        <v>2</v>
      </c>
      <c r="C272" s="193">
        <v>0</v>
      </c>
      <c r="D272" s="193">
        <v>0</v>
      </c>
      <c r="E272" s="230">
        <v>0</v>
      </c>
      <c r="F272" s="231">
        <v>0</v>
      </c>
      <c r="G272" s="231">
        <v>2</v>
      </c>
      <c r="H272" s="258">
        <f t="shared" ref="H272:H277" si="38">SUM(B272:G272)</f>
        <v>4</v>
      </c>
      <c r="K272" s="3"/>
      <c r="L272" s="3"/>
      <c r="M272" s="3"/>
      <c r="N272" s="3"/>
      <c r="O272" s="3"/>
      <c r="P272" s="3"/>
      <c r="Q272" s="3"/>
      <c r="R272" s="3"/>
      <c r="S272" s="3"/>
    </row>
    <row r="273" spans="1:19" ht="15.5" hidden="1" outlineLevel="3" x14ac:dyDescent="0.35">
      <c r="A273" s="72" t="s">
        <v>276</v>
      </c>
      <c r="B273" s="193">
        <v>0</v>
      </c>
      <c r="C273" s="193">
        <v>0</v>
      </c>
      <c r="D273" s="193">
        <v>1</v>
      </c>
      <c r="E273" s="230"/>
      <c r="F273" s="231">
        <v>2</v>
      </c>
      <c r="G273" s="231">
        <v>6</v>
      </c>
      <c r="H273" s="258">
        <f t="shared" si="38"/>
        <v>9</v>
      </c>
      <c r="K273" s="3"/>
      <c r="L273" s="3"/>
      <c r="M273" s="3"/>
      <c r="N273" s="3"/>
      <c r="O273" s="3"/>
      <c r="P273" s="3"/>
      <c r="Q273" s="3"/>
      <c r="R273" s="3"/>
      <c r="S273" s="3"/>
    </row>
    <row r="274" spans="1:19" ht="15.5" hidden="1" outlineLevel="3" x14ac:dyDescent="0.35">
      <c r="A274" s="72" t="s">
        <v>92</v>
      </c>
      <c r="B274" s="193">
        <v>0</v>
      </c>
      <c r="C274" s="193">
        <v>0</v>
      </c>
      <c r="D274" s="193">
        <v>0</v>
      </c>
      <c r="E274" s="230"/>
      <c r="F274" s="231">
        <v>0</v>
      </c>
      <c r="G274" s="231">
        <v>0</v>
      </c>
      <c r="H274" s="258">
        <f t="shared" si="38"/>
        <v>0</v>
      </c>
      <c r="K274" s="3"/>
      <c r="L274" s="3"/>
      <c r="M274" s="3"/>
      <c r="N274" s="3"/>
      <c r="O274" s="3"/>
      <c r="P274" s="3"/>
      <c r="Q274" s="3"/>
      <c r="R274" s="3"/>
      <c r="S274" s="3"/>
    </row>
    <row r="275" spans="1:19" ht="15.5" hidden="1" outlineLevel="3" x14ac:dyDescent="0.35">
      <c r="A275" s="72" t="s">
        <v>128</v>
      </c>
      <c r="B275" s="193"/>
      <c r="C275" s="193">
        <v>0</v>
      </c>
      <c r="D275" s="193"/>
      <c r="E275" s="230"/>
      <c r="F275" s="231">
        <v>3</v>
      </c>
      <c r="G275" s="231"/>
      <c r="H275" s="258">
        <f t="shared" si="38"/>
        <v>3</v>
      </c>
      <c r="K275" s="3"/>
      <c r="L275" s="3"/>
      <c r="M275" s="3"/>
      <c r="N275" s="3"/>
      <c r="O275" s="3"/>
      <c r="P275" s="3"/>
      <c r="Q275" s="3"/>
      <c r="R275" s="3"/>
      <c r="S275" s="3"/>
    </row>
    <row r="276" spans="1:19" ht="15.5" hidden="1" outlineLevel="3" x14ac:dyDescent="0.35">
      <c r="A276" s="72" t="s">
        <v>128</v>
      </c>
      <c r="B276" s="193"/>
      <c r="C276" s="193"/>
      <c r="D276" s="193"/>
      <c r="E276" s="230"/>
      <c r="F276" s="231"/>
      <c r="G276" s="231"/>
      <c r="H276" s="258">
        <f t="shared" si="38"/>
        <v>0</v>
      </c>
      <c r="K276" s="3"/>
      <c r="L276" s="3"/>
      <c r="M276" s="3"/>
      <c r="N276" s="3"/>
      <c r="O276" s="3"/>
      <c r="P276" s="3"/>
      <c r="Q276" s="3"/>
      <c r="R276" s="3"/>
      <c r="S276" s="3"/>
    </row>
    <row r="277" spans="1:19" ht="15.5" hidden="1" outlineLevel="3" x14ac:dyDescent="0.35">
      <c r="A277" s="72" t="s">
        <v>128</v>
      </c>
      <c r="B277" s="193"/>
      <c r="C277" s="193"/>
      <c r="D277" s="193"/>
      <c r="E277" s="230"/>
      <c r="F277" s="231"/>
      <c r="G277" s="231"/>
      <c r="H277" s="258">
        <f t="shared" si="38"/>
        <v>0</v>
      </c>
      <c r="K277" s="3"/>
      <c r="L277" s="3"/>
      <c r="M277" s="3"/>
      <c r="N277" s="3"/>
      <c r="O277" s="3"/>
      <c r="P277" s="3"/>
      <c r="Q277" s="3"/>
      <c r="R277" s="3"/>
      <c r="S277" s="3"/>
    </row>
    <row r="278" spans="1:19" ht="15" hidden="1" outlineLevel="3" x14ac:dyDescent="0.35">
      <c r="A278" s="241" t="s">
        <v>265</v>
      </c>
      <c r="B278" s="240">
        <f t="shared" ref="B278:H278" si="39">SUM(B272:B277)</f>
        <v>2</v>
      </c>
      <c r="C278" s="240">
        <f t="shared" si="39"/>
        <v>0</v>
      </c>
      <c r="D278" s="240">
        <f t="shared" si="39"/>
        <v>1</v>
      </c>
      <c r="E278" s="256">
        <f t="shared" si="39"/>
        <v>0</v>
      </c>
      <c r="F278" s="257">
        <f t="shared" si="39"/>
        <v>5</v>
      </c>
      <c r="G278" s="257">
        <f t="shared" si="39"/>
        <v>8</v>
      </c>
      <c r="H278" s="257">
        <f t="shared" si="39"/>
        <v>16</v>
      </c>
      <c r="K278" s="3"/>
      <c r="L278" s="3"/>
      <c r="M278" s="3"/>
      <c r="N278" s="3"/>
      <c r="O278" s="3"/>
      <c r="P278" s="3"/>
      <c r="Q278" s="3"/>
      <c r="R278" s="3"/>
      <c r="S278" s="3"/>
    </row>
    <row r="279" spans="1:19" ht="18.5" hidden="1" outlineLevel="2" collapsed="1" x14ac:dyDescent="0.45">
      <c r="A279" s="194" t="s">
        <v>266</v>
      </c>
      <c r="B279" s="194"/>
      <c r="C279" s="194"/>
      <c r="D279" s="194"/>
      <c r="E279" s="228">
        <f>H287</f>
        <v>4</v>
      </c>
      <c r="F279" s="144"/>
      <c r="G279" s="144"/>
      <c r="H279" s="144"/>
      <c r="K279" s="3"/>
      <c r="L279" s="3"/>
      <c r="M279" s="3"/>
      <c r="N279" s="3"/>
      <c r="O279" s="3"/>
      <c r="P279" s="3"/>
      <c r="Q279" s="3"/>
      <c r="R279" s="3"/>
      <c r="S279" s="3"/>
    </row>
    <row r="280" spans="1:19" ht="29.75" hidden="1" customHeight="1" outlineLevel="3" x14ac:dyDescent="0.35">
      <c r="A280" s="195" t="s">
        <v>262</v>
      </c>
      <c r="B280" s="196" t="s">
        <v>117</v>
      </c>
      <c r="C280" s="196" t="s">
        <v>118</v>
      </c>
      <c r="D280" s="196" t="s">
        <v>119</v>
      </c>
      <c r="E280" s="229" t="s">
        <v>120</v>
      </c>
      <c r="F280" s="224" t="s">
        <v>121</v>
      </c>
      <c r="G280" s="224" t="s">
        <v>122</v>
      </c>
      <c r="H280" s="258" t="s">
        <v>241</v>
      </c>
      <c r="K280" s="3"/>
      <c r="L280" s="3"/>
      <c r="M280" s="3"/>
      <c r="N280" s="3"/>
      <c r="O280" s="3"/>
      <c r="P280" s="3"/>
      <c r="Q280" s="3"/>
      <c r="R280" s="3"/>
      <c r="S280" s="3"/>
    </row>
    <row r="281" spans="1:19" ht="15.5" hidden="1" outlineLevel="3" x14ac:dyDescent="0.35">
      <c r="A281" s="72" t="s">
        <v>276</v>
      </c>
      <c r="B281" s="193">
        <f t="shared" ref="B281:G286" si="40">B272-B263</f>
        <v>0</v>
      </c>
      <c r="C281" s="193">
        <f t="shared" si="40"/>
        <v>0</v>
      </c>
      <c r="D281" s="193">
        <f t="shared" si="40"/>
        <v>0</v>
      </c>
      <c r="E281" s="230">
        <f t="shared" si="40"/>
        <v>0</v>
      </c>
      <c r="F281" s="231">
        <f t="shared" si="40"/>
        <v>0</v>
      </c>
      <c r="G281" s="231">
        <f t="shared" si="40"/>
        <v>0</v>
      </c>
      <c r="H281" s="258">
        <f t="shared" ref="H281:H286" si="41">SUM(B281:G281)</f>
        <v>0</v>
      </c>
      <c r="K281" s="3"/>
      <c r="L281" s="3"/>
      <c r="M281" s="3"/>
      <c r="N281" s="3"/>
      <c r="O281" s="3"/>
      <c r="P281" s="3"/>
      <c r="Q281" s="3"/>
      <c r="R281" s="3"/>
      <c r="S281" s="3"/>
    </row>
    <row r="282" spans="1:19" ht="15.5" hidden="1" outlineLevel="3" x14ac:dyDescent="0.35">
      <c r="A282" s="72" t="s">
        <v>276</v>
      </c>
      <c r="B282" s="193">
        <f t="shared" si="40"/>
        <v>0</v>
      </c>
      <c r="C282" s="193">
        <f t="shared" si="40"/>
        <v>0</v>
      </c>
      <c r="D282" s="193">
        <f t="shared" si="40"/>
        <v>-1</v>
      </c>
      <c r="E282" s="230">
        <f t="shared" si="40"/>
        <v>0</v>
      </c>
      <c r="F282" s="231">
        <f t="shared" si="40"/>
        <v>0</v>
      </c>
      <c r="G282" s="231">
        <f t="shared" si="40"/>
        <v>4</v>
      </c>
      <c r="H282" s="258">
        <f t="shared" si="41"/>
        <v>3</v>
      </c>
      <c r="K282" s="3"/>
      <c r="L282" s="3"/>
      <c r="M282" s="3"/>
      <c r="N282" s="3"/>
      <c r="O282" s="3"/>
      <c r="P282" s="3"/>
      <c r="Q282" s="3"/>
      <c r="R282" s="3"/>
      <c r="S282" s="3"/>
    </row>
    <row r="283" spans="1:19" ht="15.5" hidden="1" outlineLevel="3" x14ac:dyDescent="0.35">
      <c r="A283" s="72" t="s">
        <v>92</v>
      </c>
      <c r="B283" s="193">
        <f t="shared" si="40"/>
        <v>0</v>
      </c>
      <c r="C283" s="193">
        <f t="shared" si="40"/>
        <v>0</v>
      </c>
      <c r="D283" s="193">
        <f t="shared" si="40"/>
        <v>0</v>
      </c>
      <c r="E283" s="230">
        <f t="shared" si="40"/>
        <v>0</v>
      </c>
      <c r="F283" s="231">
        <f t="shared" si="40"/>
        <v>0</v>
      </c>
      <c r="G283" s="231">
        <f t="shared" si="40"/>
        <v>0</v>
      </c>
      <c r="H283" s="258">
        <f t="shared" si="41"/>
        <v>0</v>
      </c>
      <c r="K283" s="3"/>
      <c r="L283" s="3"/>
      <c r="M283" s="3"/>
      <c r="N283" s="3"/>
      <c r="O283" s="3"/>
      <c r="P283" s="3"/>
      <c r="Q283" s="3"/>
      <c r="R283" s="3"/>
      <c r="S283" s="3"/>
    </row>
    <row r="284" spans="1:19" ht="15.5" hidden="1" outlineLevel="3" x14ac:dyDescent="0.35">
      <c r="A284" s="72" t="s">
        <v>128</v>
      </c>
      <c r="B284" s="193">
        <f t="shared" si="40"/>
        <v>0</v>
      </c>
      <c r="C284" s="193">
        <f t="shared" si="40"/>
        <v>0</v>
      </c>
      <c r="D284" s="193">
        <f t="shared" si="40"/>
        <v>0</v>
      </c>
      <c r="E284" s="230">
        <f t="shared" si="40"/>
        <v>0</v>
      </c>
      <c r="F284" s="231">
        <f t="shared" si="40"/>
        <v>1</v>
      </c>
      <c r="G284" s="231">
        <f t="shared" si="40"/>
        <v>0</v>
      </c>
      <c r="H284" s="258">
        <f t="shared" si="41"/>
        <v>1</v>
      </c>
      <c r="K284" s="3"/>
      <c r="L284" s="3"/>
      <c r="M284" s="3"/>
      <c r="N284" s="3"/>
      <c r="O284" s="3"/>
      <c r="P284" s="3"/>
      <c r="Q284" s="3"/>
      <c r="R284" s="3"/>
      <c r="S284" s="3"/>
    </row>
    <row r="285" spans="1:19" ht="15.5" hidden="1" outlineLevel="3" x14ac:dyDescent="0.35">
      <c r="A285" s="72" t="s">
        <v>128</v>
      </c>
      <c r="B285" s="193">
        <f t="shared" si="40"/>
        <v>0</v>
      </c>
      <c r="C285" s="193">
        <f t="shared" si="40"/>
        <v>0</v>
      </c>
      <c r="D285" s="193">
        <f t="shared" si="40"/>
        <v>0</v>
      </c>
      <c r="E285" s="230">
        <f t="shared" si="40"/>
        <v>0</v>
      </c>
      <c r="F285" s="231">
        <f t="shared" si="40"/>
        <v>0</v>
      </c>
      <c r="G285" s="231">
        <f t="shared" si="40"/>
        <v>0</v>
      </c>
      <c r="H285" s="258">
        <f t="shared" si="41"/>
        <v>0</v>
      </c>
      <c r="K285" s="3"/>
      <c r="L285" s="3"/>
      <c r="M285" s="3"/>
      <c r="N285" s="3"/>
      <c r="O285" s="3"/>
      <c r="P285" s="3"/>
      <c r="Q285" s="3"/>
      <c r="R285" s="3"/>
      <c r="S285" s="3"/>
    </row>
    <row r="286" spans="1:19" ht="15.5" hidden="1" outlineLevel="3" x14ac:dyDescent="0.35">
      <c r="A286" s="72" t="s">
        <v>128</v>
      </c>
      <c r="B286" s="193">
        <f t="shared" si="40"/>
        <v>0</v>
      </c>
      <c r="C286" s="193">
        <f t="shared" si="40"/>
        <v>0</v>
      </c>
      <c r="D286" s="193">
        <f t="shared" si="40"/>
        <v>0</v>
      </c>
      <c r="E286" s="230">
        <f t="shared" si="40"/>
        <v>0</v>
      </c>
      <c r="F286" s="231">
        <f t="shared" si="40"/>
        <v>0</v>
      </c>
      <c r="G286" s="231">
        <f t="shared" si="40"/>
        <v>0</v>
      </c>
      <c r="H286" s="258">
        <f t="shared" si="41"/>
        <v>0</v>
      </c>
      <c r="K286" s="3"/>
      <c r="L286" s="3"/>
      <c r="M286" s="3"/>
      <c r="N286" s="3"/>
      <c r="O286" s="3"/>
      <c r="P286" s="3"/>
      <c r="Q286" s="3"/>
      <c r="R286" s="3"/>
      <c r="S286" s="3"/>
    </row>
    <row r="287" spans="1:19" ht="15" hidden="1" outlineLevel="3" x14ac:dyDescent="0.35">
      <c r="A287" s="241" t="s">
        <v>267</v>
      </c>
      <c r="B287" s="240">
        <f t="shared" ref="B287:H287" si="42">SUM(B281:B286)</f>
        <v>0</v>
      </c>
      <c r="C287" s="240">
        <f t="shared" si="42"/>
        <v>0</v>
      </c>
      <c r="D287" s="240">
        <f t="shared" si="42"/>
        <v>-1</v>
      </c>
      <c r="E287" s="256">
        <f t="shared" si="42"/>
        <v>0</v>
      </c>
      <c r="F287" s="257">
        <f t="shared" si="42"/>
        <v>1</v>
      </c>
      <c r="G287" s="257">
        <f t="shared" si="42"/>
        <v>4</v>
      </c>
      <c r="H287" s="257">
        <f t="shared" si="42"/>
        <v>4</v>
      </c>
      <c r="K287" s="3"/>
      <c r="L287" s="3"/>
      <c r="M287" s="3"/>
      <c r="N287" s="3"/>
      <c r="O287" s="3"/>
      <c r="P287" s="3"/>
      <c r="Q287" s="3"/>
      <c r="R287" s="3"/>
      <c r="S287" s="3"/>
    </row>
    <row r="288" spans="1:19" hidden="1" outlineLevel="2" x14ac:dyDescent="0.35"/>
    <row r="289" spans="1:11" outlineLevel="1" x14ac:dyDescent="0.35"/>
    <row r="290" spans="1:11" ht="18.5" outlineLevel="1" collapsed="1" x14ac:dyDescent="0.45">
      <c r="A290" s="400" t="s">
        <v>277</v>
      </c>
      <c r="B290" s="400"/>
      <c r="C290" s="400"/>
      <c r="D290" s="400"/>
      <c r="E290" s="184">
        <f>H292</f>
        <v>669995</v>
      </c>
    </row>
    <row r="291" spans="1:11" ht="18.5" hidden="1" outlineLevel="2" x14ac:dyDescent="0.35">
      <c r="B291" s="196" t="s">
        <v>117</v>
      </c>
      <c r="C291" s="196" t="s">
        <v>118</v>
      </c>
      <c r="D291" s="196" t="s">
        <v>119</v>
      </c>
      <c r="E291" s="229" t="s">
        <v>120</v>
      </c>
      <c r="F291" s="224" t="s">
        <v>121</v>
      </c>
      <c r="G291" s="224" t="s">
        <v>122</v>
      </c>
      <c r="H291" s="259" t="s">
        <v>241</v>
      </c>
    </row>
    <row r="292" spans="1:11" hidden="1" outlineLevel="2" x14ac:dyDescent="0.35">
      <c r="A292" t="s">
        <v>278</v>
      </c>
      <c r="B292" s="225">
        <f>SUM(B287,B257,B227,F198)</f>
        <v>-615</v>
      </c>
      <c r="C292" s="225">
        <f>SUM(C287,C257,C227,H198)</f>
        <v>132296</v>
      </c>
      <c r="D292" s="225">
        <f>SUM(D287,D257,D227,J198)</f>
        <v>127823</v>
      </c>
      <c r="E292" s="225">
        <f>SUM(E287,E257,E227,L198)</f>
        <v>172826</v>
      </c>
      <c r="F292" s="225">
        <f>SUM(F287,F257,F227,N198)</f>
        <v>118829</v>
      </c>
      <c r="G292" s="225">
        <f>SUM(G287,G257,G227,P198)</f>
        <v>118836</v>
      </c>
      <c r="H292" s="225">
        <f>SUM(B292:G292)</f>
        <v>669995</v>
      </c>
    </row>
    <row r="293" spans="1:11" outlineLevel="1" x14ac:dyDescent="0.35">
      <c r="B293" s="226"/>
      <c r="C293" s="226"/>
      <c r="D293" s="226"/>
      <c r="E293" s="226"/>
      <c r="F293" s="226"/>
      <c r="G293" s="226"/>
      <c r="H293" s="227"/>
    </row>
    <row r="295" spans="1:11" s="287" customFormat="1" ht="20" customHeight="1" collapsed="1" x14ac:dyDescent="0.35">
      <c r="A295" s="410" t="s">
        <v>73</v>
      </c>
      <c r="B295" s="410"/>
      <c r="C295" s="410"/>
      <c r="D295" s="410"/>
      <c r="E295" s="337">
        <f>B314</f>
        <v>1656</v>
      </c>
      <c r="F295" s="387"/>
      <c r="G295" s="387"/>
      <c r="H295" s="387"/>
      <c r="I295" s="387"/>
      <c r="J295" s="387"/>
      <c r="K295" s="387"/>
    </row>
    <row r="296" spans="1:11" ht="18.5" hidden="1" outlineLevel="1" x14ac:dyDescent="0.45">
      <c r="A296" s="401" t="s">
        <v>279</v>
      </c>
      <c r="B296" s="402"/>
      <c r="C296" s="402"/>
      <c r="D296" s="402"/>
      <c r="E296" s="402"/>
      <c r="F296" s="402"/>
      <c r="G296" s="402"/>
      <c r="H296" s="403"/>
    </row>
    <row r="297" spans="1:11" hidden="1" outlineLevel="1" x14ac:dyDescent="0.35">
      <c r="A297" s="338"/>
      <c r="B297" s="14" t="s">
        <v>116</v>
      </c>
      <c r="C297" s="14" t="s">
        <v>117</v>
      </c>
      <c r="D297" s="14" t="s">
        <v>118</v>
      </c>
      <c r="E297" s="14" t="s">
        <v>119</v>
      </c>
      <c r="F297" s="14" t="s">
        <v>120</v>
      </c>
      <c r="G297" s="14" t="s">
        <v>121</v>
      </c>
      <c r="H297" s="339" t="s">
        <v>122</v>
      </c>
    </row>
    <row r="298" spans="1:11" ht="15.5" hidden="1" outlineLevel="1" x14ac:dyDescent="0.35">
      <c r="A298" s="404" t="s">
        <v>280</v>
      </c>
      <c r="B298" s="405"/>
      <c r="C298" s="405"/>
      <c r="D298" s="405"/>
      <c r="E298" s="405"/>
      <c r="F298" s="405"/>
      <c r="G298" s="405"/>
      <c r="H298" s="406"/>
    </row>
    <row r="299" spans="1:11" ht="15.5" hidden="1" outlineLevel="1" x14ac:dyDescent="0.35">
      <c r="A299" s="340"/>
      <c r="B299" s="260">
        <f t="shared" ref="B299:H299" si="43">SUBTOTAL(9,B300:B302)</f>
        <v>7</v>
      </c>
      <c r="C299" s="260">
        <f t="shared" si="43"/>
        <v>7</v>
      </c>
      <c r="D299" s="260">
        <f t="shared" si="43"/>
        <v>0</v>
      </c>
      <c r="E299" s="260">
        <f t="shared" si="43"/>
        <v>0</v>
      </c>
      <c r="F299" s="260">
        <f t="shared" si="43"/>
        <v>0</v>
      </c>
      <c r="G299" s="260">
        <f t="shared" si="43"/>
        <v>0</v>
      </c>
      <c r="H299" s="341">
        <f t="shared" si="43"/>
        <v>0</v>
      </c>
    </row>
    <row r="300" spans="1:11" ht="15.5" hidden="1" outlineLevel="1" x14ac:dyDescent="0.35">
      <c r="A300" s="342" t="s">
        <v>281</v>
      </c>
      <c r="B300" s="261">
        <f>SUM(C300:H300)</f>
        <v>5</v>
      </c>
      <c r="C300" s="161">
        <v>5</v>
      </c>
      <c r="D300" s="161"/>
      <c r="E300" s="161"/>
      <c r="F300" s="161"/>
      <c r="G300" s="161"/>
      <c r="H300" s="343"/>
    </row>
    <row r="301" spans="1:11" ht="15.5" hidden="1" outlineLevel="1" x14ac:dyDescent="0.35">
      <c r="A301" s="342" t="s">
        <v>282</v>
      </c>
      <c r="B301" s="261">
        <f>SUM(C301:H301)</f>
        <v>1</v>
      </c>
      <c r="C301" s="161">
        <v>1</v>
      </c>
      <c r="D301" s="161"/>
      <c r="E301" s="161"/>
      <c r="F301" s="161"/>
      <c r="G301" s="161">
        <v>0</v>
      </c>
      <c r="H301" s="343">
        <v>0</v>
      </c>
    </row>
    <row r="302" spans="1:11" ht="15.5" hidden="1" outlineLevel="1" x14ac:dyDescent="0.35">
      <c r="A302" s="342" t="s">
        <v>283</v>
      </c>
      <c r="B302" s="261">
        <f>SUM(C302:H302)</f>
        <v>1</v>
      </c>
      <c r="C302" s="161">
        <v>1</v>
      </c>
      <c r="D302" s="161"/>
      <c r="E302" s="161"/>
      <c r="F302" s="161"/>
      <c r="G302" s="161"/>
      <c r="H302" s="343"/>
    </row>
    <row r="303" spans="1:11" ht="15.5" hidden="1" outlineLevel="1" x14ac:dyDescent="0.35">
      <c r="A303" s="407" t="s">
        <v>284</v>
      </c>
      <c r="B303" s="408"/>
      <c r="C303" s="408"/>
      <c r="D303" s="408"/>
      <c r="E303" s="408"/>
      <c r="F303" s="408"/>
      <c r="G303" s="408"/>
      <c r="H303" s="409"/>
    </row>
    <row r="304" spans="1:11" ht="15.5" hidden="1" outlineLevel="1" x14ac:dyDescent="0.35">
      <c r="A304" s="340"/>
      <c r="B304" s="260">
        <f>SUBTOTAL(9,B305:B307)</f>
        <v>1646</v>
      </c>
      <c r="C304" s="260">
        <f t="shared" ref="C304:H304" si="44">SUBTOTAL(9,C305:C307)</f>
        <v>623</v>
      </c>
      <c r="D304" s="260">
        <f t="shared" si="44"/>
        <v>500</v>
      </c>
      <c r="E304" s="260">
        <f t="shared" si="44"/>
        <v>500</v>
      </c>
      <c r="F304" s="260">
        <f t="shared" si="44"/>
        <v>20</v>
      </c>
      <c r="G304" s="260">
        <f t="shared" si="44"/>
        <v>2</v>
      </c>
      <c r="H304" s="341">
        <f t="shared" si="44"/>
        <v>1</v>
      </c>
    </row>
    <row r="305" spans="1:11" ht="15.5" hidden="1" outlineLevel="1" x14ac:dyDescent="0.35">
      <c r="A305" s="344" t="s">
        <v>285</v>
      </c>
      <c r="B305" s="262">
        <f>SUM(C305:H305)</f>
        <v>615</v>
      </c>
      <c r="C305" s="161">
        <f t="shared" ref="C305:H305" si="45">IF(B292&lt;0,-B292,0)</f>
        <v>615</v>
      </c>
      <c r="D305" s="161">
        <f t="shared" si="45"/>
        <v>0</v>
      </c>
      <c r="E305" s="161">
        <f t="shared" si="45"/>
        <v>0</v>
      </c>
      <c r="F305" s="161">
        <f t="shared" si="45"/>
        <v>0</v>
      </c>
      <c r="G305" s="161">
        <f t="shared" si="45"/>
        <v>0</v>
      </c>
      <c r="H305" s="343">
        <f t="shared" si="45"/>
        <v>0</v>
      </c>
    </row>
    <row r="306" spans="1:11" ht="15.5" hidden="1" outlineLevel="1" x14ac:dyDescent="0.35">
      <c r="A306" s="342" t="s">
        <v>286</v>
      </c>
      <c r="B306" s="261">
        <f>SUM(C306:H306)</f>
        <v>1027</v>
      </c>
      <c r="C306" s="161">
        <v>4</v>
      </c>
      <c r="D306" s="161">
        <v>500</v>
      </c>
      <c r="E306" s="161">
        <v>500</v>
      </c>
      <c r="F306" s="161">
        <v>20</v>
      </c>
      <c r="G306" s="161">
        <v>2</v>
      </c>
      <c r="H306" s="343">
        <v>1</v>
      </c>
    </row>
    <row r="307" spans="1:11" ht="15.5" hidden="1" outlineLevel="1" x14ac:dyDescent="0.35">
      <c r="A307" s="342" t="s">
        <v>287</v>
      </c>
      <c r="B307" s="261">
        <f>SUM(C307:H307)</f>
        <v>4</v>
      </c>
      <c r="C307" s="161">
        <v>4</v>
      </c>
      <c r="D307" s="161">
        <v>0</v>
      </c>
      <c r="E307" s="161">
        <v>0</v>
      </c>
      <c r="F307" s="161">
        <v>0</v>
      </c>
      <c r="G307" s="161">
        <v>0</v>
      </c>
      <c r="H307" s="343">
        <v>0</v>
      </c>
    </row>
    <row r="308" spans="1:11" ht="15.5" hidden="1" outlineLevel="1" x14ac:dyDescent="0.35">
      <c r="A308" s="407" t="s">
        <v>288</v>
      </c>
      <c r="B308" s="408"/>
      <c r="C308" s="408"/>
      <c r="D308" s="408"/>
      <c r="E308" s="408"/>
      <c r="F308" s="408"/>
      <c r="G308" s="408"/>
      <c r="H308" s="409"/>
    </row>
    <row r="309" spans="1:11" ht="15.5" hidden="1" outlineLevel="1" x14ac:dyDescent="0.35">
      <c r="A309" s="340"/>
      <c r="B309" s="260">
        <f t="shared" ref="B309:H309" si="46">SUBTOTAL(9,B310:B312)</f>
        <v>3</v>
      </c>
      <c r="C309" s="260">
        <f t="shared" si="46"/>
        <v>3</v>
      </c>
      <c r="D309" s="260">
        <f t="shared" si="46"/>
        <v>0</v>
      </c>
      <c r="E309" s="260">
        <f t="shared" si="46"/>
        <v>0</v>
      </c>
      <c r="F309" s="260">
        <f t="shared" si="46"/>
        <v>0</v>
      </c>
      <c r="G309" s="260">
        <f t="shared" si="46"/>
        <v>0</v>
      </c>
      <c r="H309" s="341">
        <f t="shared" si="46"/>
        <v>0</v>
      </c>
    </row>
    <row r="310" spans="1:11" ht="15.5" hidden="1" outlineLevel="1" x14ac:dyDescent="0.35">
      <c r="A310" s="345" t="s">
        <v>289</v>
      </c>
      <c r="B310" s="261">
        <f>SUM(C310:H310)</f>
        <v>1</v>
      </c>
      <c r="C310" s="161">
        <v>1</v>
      </c>
      <c r="D310" s="161"/>
      <c r="E310" s="161"/>
      <c r="F310" s="161"/>
      <c r="G310" s="161"/>
      <c r="H310" s="343"/>
    </row>
    <row r="311" spans="1:11" ht="15.5" hidden="1" outlineLevel="1" x14ac:dyDescent="0.35">
      <c r="A311" s="345" t="s">
        <v>290</v>
      </c>
      <c r="B311" s="261">
        <f>SUM(C311:H311)</f>
        <v>1</v>
      </c>
      <c r="C311" s="161">
        <v>1</v>
      </c>
      <c r="D311" s="161"/>
      <c r="E311" s="161"/>
      <c r="F311" s="161"/>
      <c r="G311" s="161"/>
      <c r="H311" s="343"/>
    </row>
    <row r="312" spans="1:11" ht="15.5" hidden="1" outlineLevel="1" x14ac:dyDescent="0.35">
      <c r="A312" s="345" t="s">
        <v>291</v>
      </c>
      <c r="B312" s="261">
        <f>SUM(C312:H312)</f>
        <v>1</v>
      </c>
      <c r="C312" s="161">
        <v>1</v>
      </c>
      <c r="D312" s="161"/>
      <c r="E312" s="161"/>
      <c r="F312" s="161"/>
      <c r="G312" s="161"/>
      <c r="H312" s="343"/>
    </row>
    <row r="313" spans="1:11" ht="16" hidden="1" outlineLevel="1" x14ac:dyDescent="0.35">
      <c r="A313" s="346"/>
      <c r="B313" s="80"/>
      <c r="C313" s="81"/>
      <c r="D313" s="81"/>
      <c r="E313" s="81"/>
      <c r="F313" s="81"/>
      <c r="G313" s="81"/>
      <c r="H313" s="347"/>
    </row>
    <row r="314" spans="1:11" ht="15.5" hidden="1" outlineLevel="1" x14ac:dyDescent="0.35">
      <c r="A314" s="348" t="s">
        <v>292</v>
      </c>
      <c r="B314" s="349">
        <f>SUBTOTAL(9,B299:B312)</f>
        <v>1656</v>
      </c>
      <c r="C314" s="349">
        <f t="shared" ref="C314:H314" si="47">SUBTOTAL(9,C299:C313)</f>
        <v>633</v>
      </c>
      <c r="D314" s="349">
        <f t="shared" si="47"/>
        <v>500</v>
      </c>
      <c r="E314" s="349">
        <f t="shared" si="47"/>
        <v>500</v>
      </c>
      <c r="F314" s="349">
        <f t="shared" si="47"/>
        <v>20</v>
      </c>
      <c r="G314" s="349">
        <f t="shared" si="47"/>
        <v>2</v>
      </c>
      <c r="H314" s="350">
        <f t="shared" si="47"/>
        <v>1</v>
      </c>
    </row>
    <row r="316" spans="1:11" s="287" customFormat="1" ht="20" customHeight="1" x14ac:dyDescent="0.35">
      <c r="A316" s="388" t="s">
        <v>130</v>
      </c>
      <c r="B316" s="388"/>
      <c r="C316" s="388"/>
      <c r="D316" s="388"/>
      <c r="E316" s="296"/>
      <c r="F316" s="297"/>
      <c r="G316" s="297"/>
      <c r="H316" s="297"/>
      <c r="I316" s="298"/>
      <c r="J316" s="298"/>
      <c r="K316" s="297"/>
    </row>
    <row r="317" spans="1:11" outlineLevel="1" x14ac:dyDescent="0.35">
      <c r="A317" s="326"/>
      <c r="B317" s="327" t="s">
        <v>116</v>
      </c>
      <c r="C317" s="327" t="s">
        <v>117</v>
      </c>
      <c r="D317" s="327" t="s">
        <v>118</v>
      </c>
      <c r="E317" s="327" t="s">
        <v>119</v>
      </c>
      <c r="F317" s="327" t="s">
        <v>120</v>
      </c>
      <c r="G317" s="327" t="s">
        <v>121</v>
      </c>
      <c r="H317" s="328" t="s">
        <v>122</v>
      </c>
    </row>
    <row r="318" spans="1:11" ht="15.5" outlineLevel="1" x14ac:dyDescent="0.35">
      <c r="A318" s="303" t="s">
        <v>131</v>
      </c>
      <c r="B318" s="265">
        <f>SUM(C318:H318)</f>
        <v>4171584.5</v>
      </c>
      <c r="C318" s="265">
        <f>E4+E46+E70+E95+E112</f>
        <v>4171584.5</v>
      </c>
      <c r="D318" s="266" t="s">
        <v>132</v>
      </c>
      <c r="E318" s="266" t="s">
        <v>132</v>
      </c>
      <c r="F318" s="266" t="s">
        <v>132</v>
      </c>
      <c r="G318" s="266" t="s">
        <v>132</v>
      </c>
      <c r="H318" s="329" t="s">
        <v>132</v>
      </c>
    </row>
    <row r="319" spans="1:11" ht="15.5" outlineLevel="1" x14ac:dyDescent="0.35">
      <c r="A319" s="303" t="s">
        <v>133</v>
      </c>
      <c r="B319" s="265">
        <f>SUM(C319:H319)</f>
        <v>669995</v>
      </c>
      <c r="C319" s="266">
        <f>SUM(F198+B227+B257+B287)</f>
        <v>-615</v>
      </c>
      <c r="D319" s="265">
        <f>H198+C227+C257+C287</f>
        <v>132296</v>
      </c>
      <c r="E319" s="265">
        <f>J198+D227+D257+D287</f>
        <v>127823</v>
      </c>
      <c r="F319" s="265">
        <f>L198+E227+E257+E287</f>
        <v>172826</v>
      </c>
      <c r="G319" s="265">
        <f>N198+F227+F257+F287</f>
        <v>118829</v>
      </c>
      <c r="H319" s="330">
        <f>P198+G227+G257+G287</f>
        <v>118836</v>
      </c>
    </row>
    <row r="320" spans="1:11" ht="15.5" outlineLevel="1" x14ac:dyDescent="0.35">
      <c r="A320" s="303" t="s">
        <v>134</v>
      </c>
      <c r="B320" s="265"/>
      <c r="C320" s="265"/>
      <c r="D320" s="265"/>
      <c r="E320" s="265"/>
      <c r="F320" s="265"/>
      <c r="G320" s="265"/>
      <c r="H320" s="330"/>
    </row>
    <row r="321" spans="1:10" ht="15.5" outlineLevel="1" x14ac:dyDescent="0.35">
      <c r="A321" s="331" t="s">
        <v>135</v>
      </c>
      <c r="B321" s="267">
        <f>(B318+B319)</f>
        <v>4841579.5</v>
      </c>
      <c r="C321" s="268">
        <f>(C318+C319)</f>
        <v>4170969.5</v>
      </c>
      <c r="D321" s="268">
        <f>D319</f>
        <v>132296</v>
      </c>
      <c r="E321" s="268">
        <f>E319</f>
        <v>127823</v>
      </c>
      <c r="F321" s="268">
        <f>F319</f>
        <v>172826</v>
      </c>
      <c r="G321" s="268">
        <f>G319</f>
        <v>118829</v>
      </c>
      <c r="H321" s="332">
        <f>H319</f>
        <v>118836</v>
      </c>
    </row>
    <row r="322" spans="1:10" ht="15.5" outlineLevel="1" x14ac:dyDescent="0.35">
      <c r="A322" s="331" t="s">
        <v>136</v>
      </c>
      <c r="B322" s="267">
        <f>SUM(C322:H322)</f>
        <v>1656</v>
      </c>
      <c r="C322" s="268">
        <f t="shared" ref="C322:H322" si="48">C314</f>
        <v>633</v>
      </c>
      <c r="D322" s="268">
        <f t="shared" si="48"/>
        <v>500</v>
      </c>
      <c r="E322" s="268">
        <f t="shared" si="48"/>
        <v>500</v>
      </c>
      <c r="F322" s="268">
        <f t="shared" si="48"/>
        <v>20</v>
      </c>
      <c r="G322" s="268">
        <f t="shared" si="48"/>
        <v>2</v>
      </c>
      <c r="H322" s="268">
        <f t="shared" si="48"/>
        <v>1</v>
      </c>
    </row>
    <row r="323" spans="1:10" ht="15.5" outlineLevel="1" x14ac:dyDescent="0.35">
      <c r="A323" s="331" t="s">
        <v>137</v>
      </c>
      <c r="B323" s="267">
        <f>B321-B322</f>
        <v>4839923.5</v>
      </c>
      <c r="C323" s="267">
        <f t="shared" ref="C323:H323" si="49">C321-C322</f>
        <v>4170336.5</v>
      </c>
      <c r="D323" s="267">
        <f t="shared" si="49"/>
        <v>131796</v>
      </c>
      <c r="E323" s="267">
        <f t="shared" si="49"/>
        <v>127323</v>
      </c>
      <c r="F323" s="267">
        <f t="shared" si="49"/>
        <v>172806</v>
      </c>
      <c r="G323" s="267">
        <f t="shared" si="49"/>
        <v>118827</v>
      </c>
      <c r="H323" s="333">
        <f t="shared" si="49"/>
        <v>118835</v>
      </c>
    </row>
    <row r="324" spans="1:10" ht="15.5" outlineLevel="1" x14ac:dyDescent="0.35">
      <c r="A324" s="334" t="s">
        <v>84</v>
      </c>
      <c r="B324" s="335"/>
      <c r="C324" s="335">
        <f>C323</f>
        <v>4170336.5</v>
      </c>
      <c r="D324" s="335">
        <f>C324+D323</f>
        <v>4302132.5</v>
      </c>
      <c r="E324" s="335">
        <f>D324+E323</f>
        <v>4429455.5</v>
      </c>
      <c r="F324" s="335">
        <f>E324+F323</f>
        <v>4602261.5</v>
      </c>
      <c r="G324" s="335">
        <f>F324+G323</f>
        <v>4721088.5</v>
      </c>
      <c r="H324" s="336">
        <f>G324+H323</f>
        <v>4839923.5</v>
      </c>
    </row>
    <row r="327" spans="1:10" s="287" customFormat="1" ht="20" customHeight="1" x14ac:dyDescent="0.35">
      <c r="A327" s="394" t="s">
        <v>293</v>
      </c>
      <c r="B327" s="395"/>
      <c r="C327" s="395"/>
      <c r="D327" s="396"/>
      <c r="I327" s="300"/>
      <c r="J327" s="300"/>
    </row>
    <row r="328" spans="1:10" ht="15.5" x14ac:dyDescent="0.35">
      <c r="A328" s="302" t="s">
        <v>140</v>
      </c>
      <c r="B328" s="397">
        <v>0.18</v>
      </c>
      <c r="C328" s="398"/>
      <c r="D328" s="399"/>
    </row>
    <row r="329" spans="1:10" ht="15.5" x14ac:dyDescent="0.35">
      <c r="A329" s="303" t="s">
        <v>141</v>
      </c>
      <c r="B329" s="411">
        <f>NPV($C$328, D323:H323)+C323</f>
        <v>4839923.5</v>
      </c>
      <c r="C329" s="412"/>
      <c r="D329" s="413"/>
    </row>
    <row r="330" spans="1:10" ht="15.5" x14ac:dyDescent="0.35">
      <c r="A330" s="303" t="s">
        <v>142</v>
      </c>
      <c r="B330" s="411" t="e">
        <f>IRR(C323:H323)</f>
        <v>#NUM!</v>
      </c>
      <c r="C330" s="412"/>
      <c r="D330" s="413"/>
    </row>
    <row r="331" spans="1:10" ht="15.5" x14ac:dyDescent="0.35">
      <c r="A331" s="303" t="s">
        <v>143</v>
      </c>
      <c r="B331" s="411">
        <f>IF(D324&gt;0,0+(-C324/D323),IF(E324&gt;0,1+(-D324/E323),IF(F324&gt;0,2+(-E324/F323),IF(G324&gt;0,3+(-F324/G323),IF(H324&gt;0,4+(-G324/H323),)))))</f>
        <v>-31.642360162675651</v>
      </c>
      <c r="C331" s="412"/>
      <c r="D331" s="413"/>
    </row>
    <row r="332" spans="1:10" ht="15.5" x14ac:dyDescent="0.35">
      <c r="A332" s="304"/>
      <c r="B332" s="305" t="s">
        <v>30</v>
      </c>
      <c r="C332" s="373" t="s">
        <v>59</v>
      </c>
      <c r="D332" s="371" t="s">
        <v>144</v>
      </c>
    </row>
    <row r="333" spans="1:10" ht="15.5" x14ac:dyDescent="0.35">
      <c r="A333" s="365" t="s">
        <v>145</v>
      </c>
      <c r="B333" s="369">
        <f>E112</f>
        <v>7000</v>
      </c>
      <c r="C333" s="366">
        <f>E230</f>
        <v>4</v>
      </c>
      <c r="D333" s="369">
        <f>SUM(B333:C333)</f>
        <v>7004</v>
      </c>
    </row>
    <row r="334" spans="1:10" ht="15.5" x14ac:dyDescent="0.35">
      <c r="A334" s="365" t="s">
        <v>50</v>
      </c>
      <c r="B334" s="369">
        <f>E95</f>
        <v>72000</v>
      </c>
      <c r="C334" s="366">
        <f>E200</f>
        <v>2</v>
      </c>
      <c r="D334" s="369">
        <f>SUM(B334:C334)</f>
        <v>72002</v>
      </c>
    </row>
    <row r="335" spans="1:10" ht="15.5" x14ac:dyDescent="0.35">
      <c r="A335" s="368" t="s">
        <v>146</v>
      </c>
      <c r="B335" s="370">
        <f>E4+E46+E70</f>
        <v>4092584.5</v>
      </c>
      <c r="C335" s="374">
        <f>E260+E142</f>
        <v>669989</v>
      </c>
      <c r="D335" s="370">
        <f>SUM(B335:C335)</f>
        <v>4762573.5</v>
      </c>
    </row>
    <row r="336" spans="1:10" ht="16" thickBot="1" x14ac:dyDescent="0.4">
      <c r="A336" s="378" t="s">
        <v>235</v>
      </c>
      <c r="B336" s="379">
        <f>E138</f>
        <v>450018.75</v>
      </c>
      <c r="C336" s="380"/>
      <c r="D336" s="379"/>
    </row>
    <row r="337" spans="1:4" ht="15.5" x14ac:dyDescent="0.35">
      <c r="A337" s="377" t="s">
        <v>147</v>
      </c>
      <c r="B337" s="375">
        <f>SUM(B333:B336)</f>
        <v>4621603.25</v>
      </c>
      <c r="C337" s="375">
        <f>SUM(C333:C336)</f>
        <v>669995</v>
      </c>
      <c r="D337" s="372">
        <f>SUM(D333:D336)</f>
        <v>4841579.5</v>
      </c>
    </row>
    <row r="338" spans="1:4" ht="16" thickBot="1" x14ac:dyDescent="0.4">
      <c r="A338" s="381" t="s">
        <v>294</v>
      </c>
      <c r="B338" s="382">
        <f>B337+B337*0.05</f>
        <v>4852683.4124999996</v>
      </c>
      <c r="C338" s="382">
        <f>C337+C337*0.05</f>
        <v>703494.75</v>
      </c>
      <c r="D338" s="383">
        <f>D337+D337*0.05</f>
        <v>5083658.4749999996</v>
      </c>
    </row>
    <row r="339" spans="1:4" ht="15.5" x14ac:dyDescent="0.35">
      <c r="A339" s="376" t="s">
        <v>148</v>
      </c>
      <c r="B339" s="367"/>
      <c r="C339" s="375">
        <f>E295</f>
        <v>1656</v>
      </c>
      <c r="D339" s="372">
        <f>SUM(B339:C339)</f>
        <v>1656</v>
      </c>
    </row>
    <row r="340" spans="1:4" ht="15.5" x14ac:dyDescent="0.35">
      <c r="A340" s="376" t="s">
        <v>137</v>
      </c>
      <c r="B340" s="367">
        <f>B339-B338</f>
        <v>-4852683.4124999996</v>
      </c>
      <c r="C340" s="375">
        <f>C339-C338</f>
        <v>-701838.75</v>
      </c>
      <c r="D340" s="372">
        <f>D339-D338</f>
        <v>-5082002.4749999996</v>
      </c>
    </row>
    <row r="341" spans="1:4" ht="18.5" x14ac:dyDescent="0.45">
      <c r="A341" s="389" t="s">
        <v>149</v>
      </c>
      <c r="B341" s="390"/>
      <c r="C341" s="390"/>
      <c r="D341" s="391"/>
    </row>
    <row r="342" spans="1:4" ht="15.5" x14ac:dyDescent="0.35">
      <c r="A342" s="318" t="s">
        <v>150</v>
      </c>
      <c r="B342" s="392">
        <f>B329</f>
        <v>4839923.5</v>
      </c>
      <c r="C342" s="392"/>
      <c r="D342" s="393"/>
    </row>
    <row r="343" spans="1:4" ht="15.5" x14ac:dyDescent="0.35">
      <c r="A343" s="318" t="s">
        <v>142</v>
      </c>
      <c r="B343" s="392" t="e">
        <f>B330</f>
        <v>#NUM!</v>
      </c>
      <c r="C343" s="392"/>
      <c r="D343" s="393"/>
    </row>
    <row r="344" spans="1:4" ht="15.5" x14ac:dyDescent="0.35">
      <c r="A344" s="319" t="s">
        <v>151</v>
      </c>
      <c r="B344" s="392">
        <f>B331</f>
        <v>-31.642360162675651</v>
      </c>
      <c r="C344" s="392"/>
      <c r="D344" s="393"/>
    </row>
    <row r="345" spans="1:4" x14ac:dyDescent="0.35">
      <c r="A345" s="320"/>
      <c r="B345" s="301"/>
      <c r="C345" s="301"/>
      <c r="D345" s="321"/>
    </row>
    <row r="346" spans="1:4" ht="21" x14ac:dyDescent="0.35">
      <c r="A346" s="448" t="s">
        <v>139</v>
      </c>
      <c r="B346" s="449"/>
      <c r="C346" s="449"/>
      <c r="D346" s="450"/>
    </row>
    <row r="347" spans="1:4" ht="15.5" x14ac:dyDescent="0.35">
      <c r="A347" s="302" t="s">
        <v>140</v>
      </c>
      <c r="B347" s="397">
        <v>0.18</v>
      </c>
      <c r="C347" s="398"/>
      <c r="D347" s="399"/>
    </row>
    <row r="348" spans="1:4" ht="15.5" x14ac:dyDescent="0.35">
      <c r="A348" s="303" t="s">
        <v>141</v>
      </c>
      <c r="B348" s="411">
        <f>NPV($C$328, D323:H323)+C323</f>
        <v>4839923.5</v>
      </c>
      <c r="C348" s="412"/>
      <c r="D348" s="413"/>
    </row>
    <row r="349" spans="1:4" ht="15.5" x14ac:dyDescent="0.35">
      <c r="A349" s="303" t="s">
        <v>142</v>
      </c>
      <c r="B349" s="411" t="e">
        <f>IRR(C342:H342)</f>
        <v>#NUM!</v>
      </c>
      <c r="C349" s="412"/>
      <c r="D349" s="413"/>
    </row>
    <row r="350" spans="1:4" ht="15.5" x14ac:dyDescent="0.35">
      <c r="A350" s="303" t="s">
        <v>143</v>
      </c>
      <c r="B350" s="411">
        <f>IF(D324&gt;0,0+(-C324/D323),IF(E324&gt;0,1+(-D324/E323),IF(F324&gt;0,2+(-E324/F323),IF(G324&gt;0,3+(-F324/G323),IF(H324&gt;0,4+(-G324/H323),)))))</f>
        <v>-31.642360162675651</v>
      </c>
      <c r="C350" s="412"/>
      <c r="D350" s="413"/>
    </row>
    <row r="351" spans="1:4" ht="15.5" x14ac:dyDescent="0.35">
      <c r="A351" s="304"/>
      <c r="B351" s="232" t="s">
        <v>30</v>
      </c>
      <c r="C351" s="232" t="s">
        <v>59</v>
      </c>
      <c r="D351" s="305" t="s">
        <v>144</v>
      </c>
    </row>
    <row r="352" spans="1:4" ht="15.5" x14ac:dyDescent="0.35">
      <c r="A352" s="306" t="s">
        <v>145</v>
      </c>
      <c r="B352" s="198">
        <f>E112</f>
        <v>7000</v>
      </c>
      <c r="C352" s="198">
        <f>E230</f>
        <v>4</v>
      </c>
      <c r="D352" s="307">
        <f>SUM(B333:C333)</f>
        <v>7004</v>
      </c>
    </row>
    <row r="353" spans="1:4" ht="15.5" x14ac:dyDescent="0.35">
      <c r="A353" s="308" t="s">
        <v>50</v>
      </c>
      <c r="B353" s="199">
        <f>E95</f>
        <v>72000</v>
      </c>
      <c r="C353" s="199">
        <f>E200</f>
        <v>2</v>
      </c>
      <c r="D353" s="307">
        <f>SUM(B334:C334)</f>
        <v>72002</v>
      </c>
    </row>
    <row r="354" spans="1:4" ht="15.5" x14ac:dyDescent="0.35">
      <c r="A354" s="309" t="s">
        <v>146</v>
      </c>
      <c r="B354" s="269">
        <f>SUM(B355:B357)</f>
        <v>4092584.5</v>
      </c>
      <c r="C354" s="269">
        <f>SUM(C355:C357)</f>
        <v>669989</v>
      </c>
      <c r="D354" s="322">
        <f>SUM(D355:D357)</f>
        <v>4762573.5</v>
      </c>
    </row>
    <row r="355" spans="1:4" ht="15.5" x14ac:dyDescent="0.35">
      <c r="A355" s="323" t="s">
        <v>295</v>
      </c>
      <c r="B355" s="270">
        <f>E4</f>
        <v>4039962.5</v>
      </c>
      <c r="C355" s="270">
        <f>E142</f>
        <v>669985</v>
      </c>
      <c r="D355" s="324">
        <f>B355+C355</f>
        <v>4709947.5</v>
      </c>
    </row>
    <row r="356" spans="1:4" ht="15.5" x14ac:dyDescent="0.35">
      <c r="A356" s="323" t="s">
        <v>296</v>
      </c>
      <c r="B356" s="270">
        <f>E46</f>
        <v>30602</v>
      </c>
      <c r="C356" s="270">
        <f>E260</f>
        <v>4</v>
      </c>
      <c r="D356" s="324">
        <f>B356+C356</f>
        <v>30606</v>
      </c>
    </row>
    <row r="357" spans="1:4" ht="15.5" x14ac:dyDescent="0.35">
      <c r="A357" s="323" t="s">
        <v>297</v>
      </c>
      <c r="B357" s="270">
        <f>E70</f>
        <v>22020</v>
      </c>
      <c r="C357" s="270"/>
      <c r="D357" s="324">
        <f>B357+C357</f>
        <v>22020</v>
      </c>
    </row>
    <row r="358" spans="1:4" ht="16" thickBot="1" x14ac:dyDescent="0.4">
      <c r="A358" s="308" t="s">
        <v>235</v>
      </c>
      <c r="B358" s="199">
        <f>E138</f>
        <v>450018.75</v>
      </c>
      <c r="C358" s="199"/>
      <c r="D358" s="307"/>
    </row>
    <row r="359" spans="1:4" ht="15.5" x14ac:dyDescent="0.35">
      <c r="A359" s="312" t="s">
        <v>147</v>
      </c>
      <c r="B359" s="202">
        <f>SUM(B352:B354,B358)</f>
        <v>4621603.25</v>
      </c>
      <c r="C359" s="202">
        <f>SUM(C352:C354,C358)</f>
        <v>669995</v>
      </c>
      <c r="D359" s="313">
        <f>SUM(D352:D354,D358)</f>
        <v>4841579.5</v>
      </c>
    </row>
    <row r="360" spans="1:4" ht="16" thickBot="1" x14ac:dyDescent="0.4">
      <c r="A360" s="314" t="s">
        <v>294</v>
      </c>
      <c r="B360" s="203">
        <f>B359+B359*0.05</f>
        <v>4852683.4124999996</v>
      </c>
      <c r="C360" s="203">
        <f>C359+C359*0.05</f>
        <v>703494.75</v>
      </c>
      <c r="D360" s="315">
        <f>D359+D359*0.05</f>
        <v>5083658.4749999996</v>
      </c>
    </row>
    <row r="361" spans="1:4" ht="15.5" x14ac:dyDescent="0.35">
      <c r="A361" s="316" t="s">
        <v>148</v>
      </c>
      <c r="B361" s="200"/>
      <c r="C361" s="200">
        <f>E295</f>
        <v>1656</v>
      </c>
      <c r="D361" s="317">
        <f>SUM(B339:C339)</f>
        <v>1656</v>
      </c>
    </row>
    <row r="362" spans="1:4" ht="15.5" x14ac:dyDescent="0.35">
      <c r="A362" s="303" t="s">
        <v>137</v>
      </c>
      <c r="B362" s="200">
        <f>B361-B360</f>
        <v>-4852683.4124999996</v>
      </c>
      <c r="C362" s="200">
        <f>C361-C360</f>
        <v>-701838.75</v>
      </c>
      <c r="D362" s="317">
        <f>D361-D360</f>
        <v>-5082002.4749999996</v>
      </c>
    </row>
    <row r="363" spans="1:4" ht="18.5" x14ac:dyDescent="0.45">
      <c r="A363" s="389" t="s">
        <v>149</v>
      </c>
      <c r="B363" s="390"/>
      <c r="C363" s="390"/>
      <c r="D363" s="391"/>
    </row>
    <row r="364" spans="1:4" ht="15.5" x14ac:dyDescent="0.35">
      <c r="A364" s="318" t="s">
        <v>150</v>
      </c>
      <c r="B364" s="392">
        <f>B329</f>
        <v>4839923.5</v>
      </c>
      <c r="C364" s="392"/>
      <c r="D364" s="393"/>
    </row>
    <row r="365" spans="1:4" ht="15.5" x14ac:dyDescent="0.35">
      <c r="A365" s="318" t="s">
        <v>142</v>
      </c>
      <c r="B365" s="392" t="e">
        <f>B330</f>
        <v>#NUM!</v>
      </c>
      <c r="C365" s="392"/>
      <c r="D365" s="393"/>
    </row>
    <row r="366" spans="1:4" ht="15.5" x14ac:dyDescent="0.35">
      <c r="A366" s="325" t="s">
        <v>151</v>
      </c>
      <c r="B366" s="446">
        <f>B331</f>
        <v>-31.642360162675651</v>
      </c>
      <c r="C366" s="446"/>
      <c r="D366" s="447"/>
    </row>
  </sheetData>
  <mergeCells count="83">
    <mergeCell ref="A363:D363"/>
    <mergeCell ref="B364:D364"/>
    <mergeCell ref="B365:D365"/>
    <mergeCell ref="B366:D366"/>
    <mergeCell ref="A346:D346"/>
    <mergeCell ref="B347:D347"/>
    <mergeCell ref="B348:D348"/>
    <mergeCell ref="B349:D349"/>
    <mergeCell ref="B350:D350"/>
    <mergeCell ref="A5:F5"/>
    <mergeCell ref="A7:A10"/>
    <mergeCell ref="B7:B10"/>
    <mergeCell ref="C7:C10"/>
    <mergeCell ref="D7:D10"/>
    <mergeCell ref="E7:E10"/>
    <mergeCell ref="J7:J10"/>
    <mergeCell ref="K7:K10"/>
    <mergeCell ref="F41:J41"/>
    <mergeCell ref="A47:A48"/>
    <mergeCell ref="B47:B48"/>
    <mergeCell ref="C47:C48"/>
    <mergeCell ref="D47:E47"/>
    <mergeCell ref="A68:C68"/>
    <mergeCell ref="A71:A72"/>
    <mergeCell ref="B71:B72"/>
    <mergeCell ref="C71:C72"/>
    <mergeCell ref="D71:E71"/>
    <mergeCell ref="A93:C93"/>
    <mergeCell ref="A96:A97"/>
    <mergeCell ref="B96:B97"/>
    <mergeCell ref="C96:C97"/>
    <mergeCell ref="D96:F96"/>
    <mergeCell ref="A136:E136"/>
    <mergeCell ref="A110:E110"/>
    <mergeCell ref="A113:A114"/>
    <mergeCell ref="B113:B114"/>
    <mergeCell ref="C113:C114"/>
    <mergeCell ref="D113:F113"/>
    <mergeCell ref="P143:Q143"/>
    <mergeCell ref="R143:S144"/>
    <mergeCell ref="A143:A144"/>
    <mergeCell ref="B143:B144"/>
    <mergeCell ref="C143:C144"/>
    <mergeCell ref="D143:D144"/>
    <mergeCell ref="E143:E144"/>
    <mergeCell ref="F143:G143"/>
    <mergeCell ref="N198:O198"/>
    <mergeCell ref="P198:Q198"/>
    <mergeCell ref="R198:S198"/>
    <mergeCell ref="A142:D142"/>
    <mergeCell ref="A200:D200"/>
    <mergeCell ref="A169:E169"/>
    <mergeCell ref="A195:E195"/>
    <mergeCell ref="A198:E198"/>
    <mergeCell ref="F198:G198"/>
    <mergeCell ref="H198:I198"/>
    <mergeCell ref="J198:K198"/>
    <mergeCell ref="L198:M198"/>
    <mergeCell ref="H143:I143"/>
    <mergeCell ref="J143:K143"/>
    <mergeCell ref="L143:M143"/>
    <mergeCell ref="N143:O143"/>
    <mergeCell ref="B343:D343"/>
    <mergeCell ref="B344:D344"/>
    <mergeCell ref="B329:D329"/>
    <mergeCell ref="B330:D330"/>
    <mergeCell ref="B331:D331"/>
    <mergeCell ref="F295:K295"/>
    <mergeCell ref="A2:D2"/>
    <mergeCell ref="A140:D140"/>
    <mergeCell ref="A341:D341"/>
    <mergeCell ref="B342:D342"/>
    <mergeCell ref="A327:D327"/>
    <mergeCell ref="B328:D328"/>
    <mergeCell ref="A260:D260"/>
    <mergeCell ref="A296:H296"/>
    <mergeCell ref="A298:H298"/>
    <mergeCell ref="A303:H303"/>
    <mergeCell ref="A308:H308"/>
    <mergeCell ref="A295:D295"/>
    <mergeCell ref="A290:D290"/>
    <mergeCell ref="A316:D316"/>
    <mergeCell ref="A230:D230"/>
  </mergeCells>
  <phoneticPr fontId="6" type="noConversion"/>
  <pageMargins left="0.7" right="0.7" top="0.75" bottom="0.75" header="0.3" footer="0.3"/>
  <pageSetup paperSize="9" orientation="portrait" r:id="rId1"/>
  <headerFooter>
    <oddFooter>&amp;C_x000D_&amp;1#&amp;"Calibri"&amp;10&amp;K000000 Restricted : General Al-Futtaim Group</oddFoot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7C917A7A-1B38-4071-8390-00459B59FC47}">
          <x14:formula1>
            <xm:f>Lists!$A$69:$A$72</xm:f>
          </x14:formula1>
          <xm:sqref>D146:D168 D172:D194 D11:D38</xm:sqref>
        </x14:dataValidation>
        <x14:dataValidation type="list" allowBlank="1" showInputMessage="1" showErrorMessage="1" xr:uid="{0C9DD7A8-D45B-4312-9085-C95228022146}">
          <x14:formula1>
            <xm:f>Lists!$A$79:$A$82</xm:f>
          </x14:formula1>
          <xm:sqref>B73:B92</xm:sqref>
        </x14:dataValidation>
        <x14:dataValidation type="list" allowBlank="1" showInputMessage="1" showErrorMessage="1" xr:uid="{22726E24-6A4E-4FE9-9016-CB18723EE976}">
          <x14:formula1>
            <xm:f>OFFSET(Lists!$C$14, 1, MATCH($B11, Lists!$C$14:$L$14, 0)-1, COUNTA(OFFSET(Lists!$C$14, 1, MATCH($B11, Lists!$C$14:$L$14, 0)-1, 50)),1)</xm:f>
          </x14:formula1>
          <xm:sqref>C146:C168 C172:C194 C11:C38</xm:sqref>
        </x14:dataValidation>
        <x14:dataValidation type="list" allowBlank="1" showInputMessage="1" showErrorMessage="1" xr:uid="{A43EE939-C023-4DDC-9E41-32DAE98E73E8}">
          <x14:formula1>
            <xm:f>Lists!$C$14:$L$14</xm:f>
          </x14:formula1>
          <xm:sqref>B146:B168 B172:B194 B11:B38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53AE9-16F2-4C30-B046-3B7CEFCE11CB}">
  <sheetPr>
    <outlinePr summaryBelow="0"/>
  </sheetPr>
  <dimension ref="A2:S344"/>
  <sheetViews>
    <sheetView showGridLines="0" zoomScaleNormal="100" workbookViewId="0">
      <selection activeCell="A71" sqref="A71:B72"/>
    </sheetView>
  </sheetViews>
  <sheetFormatPr defaultColWidth="8.6328125" defaultRowHeight="14.5" outlineLevelRow="3" x14ac:dyDescent="0.35"/>
  <cols>
    <col min="1" max="1" width="34.453125" bestFit="1" customWidth="1"/>
    <col min="2" max="2" width="24.6328125" bestFit="1" customWidth="1"/>
    <col min="3" max="5" width="24.6328125" customWidth="1"/>
    <col min="6" max="8" width="22.90625" customWidth="1"/>
    <col min="9" max="10" width="22.90625" style="3" customWidth="1"/>
    <col min="11" max="19" width="22.90625" customWidth="1"/>
  </cols>
  <sheetData>
    <row r="2" spans="1:16" ht="18.5" x14ac:dyDescent="0.45">
      <c r="A2" s="385" t="s">
        <v>30</v>
      </c>
      <c r="B2" s="385"/>
      <c r="C2" s="385"/>
      <c r="D2" s="385"/>
      <c r="E2" s="386">
        <f>E4+E46+E70+E95+E112+E138</f>
        <v>4318503.25</v>
      </c>
      <c r="F2" s="353"/>
      <c r="G2" s="353"/>
      <c r="H2" s="353"/>
      <c r="I2" s="299"/>
      <c r="J2" s="299"/>
      <c r="K2" s="353"/>
    </row>
    <row r="3" spans="1:16" outlineLevel="1" x14ac:dyDescent="0.35"/>
    <row r="4" spans="1:16" s="287" customFormat="1" ht="18.649999999999999" customHeight="1" outlineLevel="1" collapsed="1" x14ac:dyDescent="0.35">
      <c r="A4" s="354" t="s">
        <v>152</v>
      </c>
      <c r="B4" s="354"/>
      <c r="C4" s="354"/>
      <c r="D4" s="354"/>
      <c r="E4" s="351">
        <f>K41</f>
        <v>3736862.5</v>
      </c>
    </row>
    <row r="5" spans="1:16" hidden="1" outlineLevel="2" x14ac:dyDescent="0.35">
      <c r="A5" s="442" t="s">
        <v>153</v>
      </c>
      <c r="B5" s="443"/>
      <c r="C5" s="443"/>
      <c r="D5" s="443"/>
      <c r="E5" s="443"/>
      <c r="F5" s="444"/>
      <c r="G5" s="167">
        <v>6</v>
      </c>
      <c r="H5" s="44"/>
    </row>
    <row r="6" spans="1:16" ht="4.25" hidden="1" customHeight="1" outlineLevel="2" x14ac:dyDescent="0.35">
      <c r="A6" s="4"/>
      <c r="B6" s="4"/>
      <c r="C6" s="10"/>
      <c r="D6" s="19"/>
      <c r="E6" s="19"/>
      <c r="F6" s="19"/>
      <c r="G6" s="11"/>
      <c r="H6" s="11"/>
      <c r="I6" s="6"/>
      <c r="J6" s="6"/>
    </row>
    <row r="7" spans="1:16" ht="39" hidden="1" customHeight="1" outlineLevel="2" x14ac:dyDescent="0.35">
      <c r="A7" s="425" t="s">
        <v>154</v>
      </c>
      <c r="B7" s="425" t="s">
        <v>155</v>
      </c>
      <c r="C7" s="425" t="s">
        <v>156</v>
      </c>
      <c r="D7" s="425" t="s">
        <v>157</v>
      </c>
      <c r="E7" s="425" t="s">
        <v>158</v>
      </c>
      <c r="F7" s="20" t="s">
        <v>298</v>
      </c>
      <c r="G7" s="20" t="s">
        <v>299</v>
      </c>
      <c r="H7" s="20" t="s">
        <v>300</v>
      </c>
      <c r="I7" s="20" t="s">
        <v>301</v>
      </c>
      <c r="J7" s="438" t="s">
        <v>163</v>
      </c>
      <c r="K7" s="438" t="s">
        <v>164</v>
      </c>
    </row>
    <row r="8" spans="1:16" hidden="1" outlineLevel="2" x14ac:dyDescent="0.35">
      <c r="A8" s="426"/>
      <c r="B8" s="426"/>
      <c r="C8" s="426"/>
      <c r="D8" s="426"/>
      <c r="E8" s="426"/>
      <c r="F8" s="20"/>
      <c r="G8" s="42"/>
      <c r="H8" s="42"/>
      <c r="I8" s="42"/>
      <c r="J8" s="439"/>
      <c r="K8" s="439"/>
      <c r="L8">
        <f>MATCH(D11,Lists!R4:U4,0)</f>
        <v>1</v>
      </c>
    </row>
    <row r="9" spans="1:16" ht="12.65" hidden="1" customHeight="1" outlineLevel="2" x14ac:dyDescent="0.35">
      <c r="A9" s="426"/>
      <c r="B9" s="426"/>
      <c r="C9" s="426"/>
      <c r="D9" s="426"/>
      <c r="E9" s="426"/>
      <c r="F9" s="164">
        <v>0</v>
      </c>
      <c r="G9" s="164">
        <v>90</v>
      </c>
      <c r="H9" s="164">
        <f>30*30</f>
        <v>900</v>
      </c>
      <c r="I9" s="164">
        <v>60</v>
      </c>
      <c r="J9" s="439"/>
      <c r="K9" s="439"/>
    </row>
    <row r="10" spans="1:16" ht="12.65" hidden="1" customHeight="1" outlineLevel="2" x14ac:dyDescent="0.35">
      <c r="A10" s="445"/>
      <c r="B10" s="445"/>
      <c r="C10" s="445"/>
      <c r="D10" s="445"/>
      <c r="E10" s="445"/>
      <c r="F10" s="37" t="s">
        <v>168</v>
      </c>
      <c r="G10" s="37" t="s">
        <v>168</v>
      </c>
      <c r="H10" s="37" t="s">
        <v>168</v>
      </c>
      <c r="I10" s="37" t="s">
        <v>168</v>
      </c>
      <c r="J10" s="440"/>
      <c r="K10" s="440"/>
      <c r="M10" t="s">
        <v>302</v>
      </c>
      <c r="N10" t="s">
        <v>172</v>
      </c>
      <c r="O10" t="s">
        <v>303</v>
      </c>
      <c r="P10" t="s">
        <v>304</v>
      </c>
    </row>
    <row r="11" spans="1:16" ht="22.25" hidden="1" customHeight="1" outlineLevel="2" x14ac:dyDescent="0.35">
      <c r="A11" s="165" t="s">
        <v>169</v>
      </c>
      <c r="B11" s="168" t="s">
        <v>174</v>
      </c>
      <c r="C11" s="168" t="s">
        <v>305</v>
      </c>
      <c r="D11" s="169" t="s">
        <v>172</v>
      </c>
      <c r="E11" s="217">
        <f>VLOOKUP(C11,Lists!$Q$5:$U$43, MATCH(D11,Lists!$Q$4:$U$4,0),0)</f>
        <v>2200</v>
      </c>
      <c r="F11" s="155">
        <v>0</v>
      </c>
      <c r="G11" s="155">
        <f>20*3</f>
        <v>60</v>
      </c>
      <c r="H11" s="155">
        <f>30*20</f>
        <v>600</v>
      </c>
      <c r="I11" s="156">
        <f>20*2</f>
        <v>40</v>
      </c>
      <c r="J11" s="218">
        <f>SUM(F11:I11)</f>
        <v>700</v>
      </c>
      <c r="K11" s="219">
        <f t="shared" ref="K11:K38" si="0">J11*E11</f>
        <v>1540000</v>
      </c>
      <c r="M11">
        <f>IF(C11="Project Manager/ Scrum Master", K11,IF(C11="Program Manager",K11,0))</f>
        <v>0</v>
      </c>
      <c r="N11">
        <f>IF(D11="Internal", K11,0)</f>
        <v>1540000</v>
      </c>
      <c r="O11">
        <f>IF(D11="External - onsite", K11,0)</f>
        <v>0</v>
      </c>
      <c r="P11">
        <f>IF(D11="External - Offshore", K11,IF(D11="External - Nearshore",K11,0))</f>
        <v>0</v>
      </c>
    </row>
    <row r="12" spans="1:16" ht="22.25" hidden="1" customHeight="1" outlineLevel="2" x14ac:dyDescent="0.35">
      <c r="A12" s="165" t="s">
        <v>173</v>
      </c>
      <c r="B12" s="168" t="s">
        <v>196</v>
      </c>
      <c r="C12" s="168" t="s">
        <v>169</v>
      </c>
      <c r="D12" s="169" t="s">
        <v>172</v>
      </c>
      <c r="E12" s="217">
        <f>VLOOKUP(C12,Lists!$Q$5:$U$43, MATCH(D12,Lists!$Q$4:$U$4,0),0)</f>
        <v>2700</v>
      </c>
      <c r="F12" s="155">
        <v>0</v>
      </c>
      <c r="G12" s="155">
        <f>20*3</f>
        <v>60</v>
      </c>
      <c r="H12" s="155">
        <f>30*20</f>
        <v>600</v>
      </c>
      <c r="I12" s="156">
        <f>20*2</f>
        <v>40</v>
      </c>
      <c r="J12" s="217">
        <f>SUM(F12:I12)</f>
        <v>700</v>
      </c>
      <c r="K12" s="219">
        <f t="shared" si="0"/>
        <v>1890000</v>
      </c>
      <c r="M12">
        <f t="shared" ref="M12:M33" si="1">IF(C12="Project Manager/ Scrum Master", K12,IF(C12="Program Manager",K12,0))</f>
        <v>1890000</v>
      </c>
      <c r="N12">
        <f t="shared" ref="N12:N33" si="2">IF(D12="Internal", K12,0)</f>
        <v>1890000</v>
      </c>
      <c r="O12">
        <f t="shared" ref="O12:O33" si="3">IF(D12="External - onsite", K12,0)</f>
        <v>0</v>
      </c>
      <c r="P12">
        <f t="shared" ref="P12:P33" si="4">IF(D12="External - Offshore", K12,IF(D12="External - Nearshore",K12,0))</f>
        <v>0</v>
      </c>
    </row>
    <row r="13" spans="1:16" ht="22.25" hidden="1" customHeight="1" outlineLevel="2" x14ac:dyDescent="0.35">
      <c r="A13" s="165" t="s">
        <v>176</v>
      </c>
      <c r="B13" s="168" t="s">
        <v>174</v>
      </c>
      <c r="C13" s="168" t="s">
        <v>177</v>
      </c>
      <c r="D13" s="169" t="s">
        <v>172</v>
      </c>
      <c r="E13" s="217">
        <f>VLOOKUP(C13,Lists!$Q$5:$U$43, MATCH(D13,Lists!$Q$4:$U$4,0),0)</f>
        <v>2422</v>
      </c>
      <c r="F13" s="155">
        <v>0</v>
      </c>
      <c r="G13" s="155">
        <f>20*1*0.25</f>
        <v>5</v>
      </c>
      <c r="H13" s="155">
        <f>20*5*0.25</f>
        <v>25</v>
      </c>
      <c r="I13" s="156">
        <f>10*0.5</f>
        <v>5</v>
      </c>
      <c r="J13" s="217">
        <f t="shared" ref="J13:J33" si="5">SUM(F13:I13)</f>
        <v>35</v>
      </c>
      <c r="K13" s="219">
        <f t="shared" si="0"/>
        <v>84770</v>
      </c>
      <c r="M13">
        <f t="shared" si="1"/>
        <v>84770</v>
      </c>
      <c r="N13">
        <f t="shared" si="2"/>
        <v>84770</v>
      </c>
      <c r="O13">
        <f t="shared" si="3"/>
        <v>0</v>
      </c>
      <c r="P13">
        <f t="shared" si="4"/>
        <v>0</v>
      </c>
    </row>
    <row r="14" spans="1:16" ht="22.25" hidden="1" customHeight="1" outlineLevel="2" x14ac:dyDescent="0.35">
      <c r="A14" s="165" t="s">
        <v>178</v>
      </c>
      <c r="B14" s="168" t="s">
        <v>174</v>
      </c>
      <c r="C14" s="168" t="s">
        <v>177</v>
      </c>
      <c r="D14" s="169" t="s">
        <v>172</v>
      </c>
      <c r="E14" s="217">
        <f>VLOOKUP(C14,Lists!$Q$5:$U$43, MATCH(D14,Lists!$Q$4:$U$4,0),0)</f>
        <v>2422</v>
      </c>
      <c r="F14" s="155">
        <v>0</v>
      </c>
      <c r="G14" s="155">
        <f>20*1*0.25</f>
        <v>5</v>
      </c>
      <c r="H14" s="155">
        <f>20*5*0.25</f>
        <v>25</v>
      </c>
      <c r="I14" s="156">
        <f>10*0.5</f>
        <v>5</v>
      </c>
      <c r="J14" s="217">
        <f t="shared" si="5"/>
        <v>35</v>
      </c>
      <c r="K14" s="219">
        <f t="shared" si="0"/>
        <v>84770</v>
      </c>
      <c r="M14">
        <f t="shared" si="1"/>
        <v>84770</v>
      </c>
      <c r="N14">
        <f t="shared" si="2"/>
        <v>84770</v>
      </c>
      <c r="O14">
        <f t="shared" si="3"/>
        <v>0</v>
      </c>
      <c r="P14">
        <f t="shared" si="4"/>
        <v>0</v>
      </c>
    </row>
    <row r="15" spans="1:16" ht="22.25" hidden="1" customHeight="1" outlineLevel="2" x14ac:dyDescent="0.35">
      <c r="A15" s="165" t="s">
        <v>179</v>
      </c>
      <c r="B15" s="168" t="s">
        <v>174</v>
      </c>
      <c r="C15" s="168" t="s">
        <v>177</v>
      </c>
      <c r="D15" s="169" t="s">
        <v>180</v>
      </c>
      <c r="E15" s="217">
        <f>VLOOKUP(C15,Lists!$Q$5:$U$43, MATCH(D15,Lists!$Q$4:$U$4,0),0)</f>
        <v>615</v>
      </c>
      <c r="F15" s="155">
        <v>0</v>
      </c>
      <c r="G15" s="155">
        <f>20*1*0.5</f>
        <v>10</v>
      </c>
      <c r="H15" s="155">
        <f>20*18*0.5</f>
        <v>180</v>
      </c>
      <c r="I15" s="156">
        <f>10*0.5</f>
        <v>5</v>
      </c>
      <c r="J15" s="217">
        <f t="shared" si="5"/>
        <v>195</v>
      </c>
      <c r="K15" s="219">
        <f t="shared" si="0"/>
        <v>119925</v>
      </c>
      <c r="M15">
        <f t="shared" si="1"/>
        <v>119925</v>
      </c>
      <c r="N15">
        <f t="shared" si="2"/>
        <v>0</v>
      </c>
      <c r="O15">
        <f t="shared" si="3"/>
        <v>0</v>
      </c>
      <c r="P15">
        <f t="shared" si="4"/>
        <v>119925</v>
      </c>
    </row>
    <row r="16" spans="1:16" ht="22.25" hidden="1" customHeight="1" outlineLevel="2" x14ac:dyDescent="0.35">
      <c r="A16" s="165" t="s">
        <v>181</v>
      </c>
      <c r="B16" s="168" t="s">
        <v>182</v>
      </c>
      <c r="C16" s="168" t="s">
        <v>183</v>
      </c>
      <c r="D16" s="169" t="s">
        <v>172</v>
      </c>
      <c r="E16" s="217">
        <f>VLOOKUP(C16,Lists!$Q$5:$U$43, MATCH(D16,Lists!$Q$4:$U$4,0),0)</f>
        <v>2857</v>
      </c>
      <c r="F16" s="155"/>
      <c r="G16" s="155"/>
      <c r="H16" s="155"/>
      <c r="I16" s="156"/>
      <c r="J16" s="217">
        <f t="shared" si="5"/>
        <v>0</v>
      </c>
      <c r="K16" s="219">
        <f t="shared" si="0"/>
        <v>0</v>
      </c>
      <c r="M16">
        <f t="shared" si="1"/>
        <v>0</v>
      </c>
      <c r="N16">
        <f t="shared" si="2"/>
        <v>0</v>
      </c>
      <c r="O16">
        <f t="shared" si="3"/>
        <v>0</v>
      </c>
      <c r="P16">
        <f t="shared" si="4"/>
        <v>0</v>
      </c>
    </row>
    <row r="17" spans="1:16" ht="22.25" hidden="1" customHeight="1" outlineLevel="2" x14ac:dyDescent="0.35">
      <c r="A17" s="165" t="s">
        <v>184</v>
      </c>
      <c r="B17" s="168" t="s">
        <v>182</v>
      </c>
      <c r="C17" s="168" t="s">
        <v>185</v>
      </c>
      <c r="D17" s="169" t="s">
        <v>172</v>
      </c>
      <c r="E17" s="217">
        <f>VLOOKUP(C17,Lists!$Q$5:$U$43, MATCH(D17,Lists!$Q$4:$U$4,0),0)</f>
        <v>2757</v>
      </c>
      <c r="F17" s="155">
        <v>0</v>
      </c>
      <c r="G17" s="155">
        <v>0.5</v>
      </c>
      <c r="H17" s="155"/>
      <c r="I17" s="156"/>
      <c r="J17" s="217">
        <f t="shared" si="5"/>
        <v>0.5</v>
      </c>
      <c r="K17" s="219">
        <f t="shared" si="0"/>
        <v>1378.5</v>
      </c>
      <c r="M17">
        <f t="shared" si="1"/>
        <v>0</v>
      </c>
      <c r="N17">
        <f t="shared" si="2"/>
        <v>1378.5</v>
      </c>
      <c r="O17">
        <f t="shared" si="3"/>
        <v>0</v>
      </c>
      <c r="P17">
        <f t="shared" si="4"/>
        <v>0</v>
      </c>
    </row>
    <row r="18" spans="1:16" ht="22.25" hidden="1" customHeight="1" outlineLevel="2" x14ac:dyDescent="0.35">
      <c r="A18" s="165" t="s">
        <v>186</v>
      </c>
      <c r="B18" s="168" t="s">
        <v>187</v>
      </c>
      <c r="C18" s="168" t="s">
        <v>188</v>
      </c>
      <c r="D18" s="169" t="s">
        <v>189</v>
      </c>
      <c r="E18" s="217">
        <f>VLOOKUP(C18,Lists!$Q$5:$U$43, MATCH(D18,Lists!$Q$4:$U$4,0),0)</f>
        <v>1850</v>
      </c>
      <c r="F18" s="155"/>
      <c r="G18" s="155"/>
      <c r="H18" s="155"/>
      <c r="I18" s="156"/>
      <c r="J18" s="217">
        <f t="shared" si="5"/>
        <v>0</v>
      </c>
      <c r="K18" s="219">
        <f t="shared" si="0"/>
        <v>0</v>
      </c>
      <c r="M18">
        <f t="shared" si="1"/>
        <v>0</v>
      </c>
      <c r="N18">
        <f t="shared" si="2"/>
        <v>0</v>
      </c>
      <c r="O18">
        <f t="shared" si="3"/>
        <v>0</v>
      </c>
      <c r="P18">
        <f t="shared" si="4"/>
        <v>0</v>
      </c>
    </row>
    <row r="19" spans="1:16" ht="22.25" hidden="1" customHeight="1" outlineLevel="2" x14ac:dyDescent="0.35">
      <c r="A19" s="165" t="s">
        <v>190</v>
      </c>
      <c r="B19" s="168" t="s">
        <v>187</v>
      </c>
      <c r="C19" s="168" t="s">
        <v>188</v>
      </c>
      <c r="D19" s="169" t="s">
        <v>172</v>
      </c>
      <c r="E19" s="217">
        <f>VLOOKUP(C19,Lists!$Q$5:$U$43, MATCH(D19,Lists!$Q$4:$U$4,0),0)</f>
        <v>2224</v>
      </c>
      <c r="F19" s="155">
        <v>0</v>
      </c>
      <c r="G19" s="155">
        <v>1</v>
      </c>
      <c r="H19" s="155"/>
      <c r="I19" s="156"/>
      <c r="J19" s="217">
        <f t="shared" si="5"/>
        <v>1</v>
      </c>
      <c r="K19" s="219">
        <f t="shared" si="0"/>
        <v>2224</v>
      </c>
      <c r="M19">
        <f t="shared" si="1"/>
        <v>0</v>
      </c>
      <c r="N19">
        <f t="shared" si="2"/>
        <v>2224</v>
      </c>
      <c r="O19">
        <f t="shared" si="3"/>
        <v>0</v>
      </c>
      <c r="P19">
        <f t="shared" si="4"/>
        <v>0</v>
      </c>
    </row>
    <row r="20" spans="1:16" ht="22.25" hidden="1" customHeight="1" outlineLevel="2" x14ac:dyDescent="0.35">
      <c r="A20" s="165" t="s">
        <v>191</v>
      </c>
      <c r="B20" s="168" t="s">
        <v>187</v>
      </c>
      <c r="C20" s="168" t="s">
        <v>192</v>
      </c>
      <c r="D20" s="169" t="s">
        <v>172</v>
      </c>
      <c r="E20" s="217">
        <f>VLOOKUP(C20,Lists!$Q$5:$U$43, MATCH(D20,Lists!$Q$4:$U$4,0),0)</f>
        <v>2175</v>
      </c>
      <c r="F20" s="155"/>
      <c r="G20" s="155"/>
      <c r="H20" s="155"/>
      <c r="I20" s="156"/>
      <c r="J20" s="217">
        <f t="shared" si="5"/>
        <v>0</v>
      </c>
      <c r="K20" s="219">
        <f t="shared" si="0"/>
        <v>0</v>
      </c>
      <c r="M20">
        <f t="shared" si="1"/>
        <v>0</v>
      </c>
      <c r="N20">
        <f t="shared" si="2"/>
        <v>0</v>
      </c>
      <c r="O20">
        <f t="shared" si="3"/>
        <v>0</v>
      </c>
      <c r="P20">
        <f t="shared" si="4"/>
        <v>0</v>
      </c>
    </row>
    <row r="21" spans="1:16" ht="22.25" hidden="1" customHeight="1" outlineLevel="2" x14ac:dyDescent="0.35">
      <c r="A21" s="165" t="s">
        <v>193</v>
      </c>
      <c r="B21" s="168" t="s">
        <v>170</v>
      </c>
      <c r="C21" s="168" t="s">
        <v>194</v>
      </c>
      <c r="D21" s="169" t="s">
        <v>172</v>
      </c>
      <c r="E21" s="217">
        <f>VLOOKUP(C21,Lists!$Q$5:$U$43, MATCH(D21,Lists!$Q$4:$U$4,0),0)</f>
        <v>2575</v>
      </c>
      <c r="F21" s="155"/>
      <c r="G21" s="155"/>
      <c r="H21" s="155"/>
      <c r="I21" s="156"/>
      <c r="J21" s="217">
        <f t="shared" si="5"/>
        <v>0</v>
      </c>
      <c r="K21" s="219">
        <f t="shared" si="0"/>
        <v>0</v>
      </c>
      <c r="M21">
        <f t="shared" si="1"/>
        <v>0</v>
      </c>
      <c r="N21">
        <f t="shared" si="2"/>
        <v>0</v>
      </c>
      <c r="O21">
        <f t="shared" si="3"/>
        <v>0</v>
      </c>
      <c r="P21">
        <f t="shared" si="4"/>
        <v>0</v>
      </c>
    </row>
    <row r="22" spans="1:16" ht="22.25" hidden="1" customHeight="1" outlineLevel="2" x14ac:dyDescent="0.35">
      <c r="A22" s="165" t="s">
        <v>195</v>
      </c>
      <c r="B22" s="168" t="s">
        <v>170</v>
      </c>
      <c r="C22" s="168" t="s">
        <v>194</v>
      </c>
      <c r="D22" s="169" t="s">
        <v>172</v>
      </c>
      <c r="E22" s="217">
        <f>VLOOKUP(C22,Lists!$Q$5:$U$43, MATCH(D22,Lists!$Q$4:$U$4,0),0)</f>
        <v>2575</v>
      </c>
      <c r="F22" s="155"/>
      <c r="G22" s="155">
        <v>1</v>
      </c>
      <c r="H22" s="155"/>
      <c r="I22" s="156"/>
      <c r="J22" s="217">
        <f t="shared" si="5"/>
        <v>1</v>
      </c>
      <c r="K22" s="219">
        <f t="shared" si="0"/>
        <v>2575</v>
      </c>
      <c r="M22">
        <f t="shared" si="1"/>
        <v>0</v>
      </c>
      <c r="N22">
        <f t="shared" si="2"/>
        <v>2575</v>
      </c>
      <c r="O22">
        <f t="shared" si="3"/>
        <v>0</v>
      </c>
      <c r="P22">
        <f t="shared" si="4"/>
        <v>0</v>
      </c>
    </row>
    <row r="23" spans="1:16" ht="22.25" hidden="1" customHeight="1" outlineLevel="2" x14ac:dyDescent="0.35">
      <c r="A23" s="165"/>
      <c r="B23" s="168" t="s">
        <v>187</v>
      </c>
      <c r="C23" s="168" t="s">
        <v>192</v>
      </c>
      <c r="D23" s="169" t="s">
        <v>189</v>
      </c>
      <c r="E23" s="217">
        <f>VLOOKUP(C23,Lists!$Q$5:$U$43, MATCH(D23,Lists!$Q$4:$U$4,0),0)</f>
        <v>1850</v>
      </c>
      <c r="F23" s="155"/>
      <c r="G23" s="155"/>
      <c r="H23" s="155"/>
      <c r="I23" s="156"/>
      <c r="J23" s="217">
        <f t="shared" si="5"/>
        <v>0</v>
      </c>
      <c r="K23" s="219">
        <f t="shared" si="0"/>
        <v>0</v>
      </c>
      <c r="M23">
        <f t="shared" si="1"/>
        <v>0</v>
      </c>
      <c r="N23">
        <f t="shared" si="2"/>
        <v>0</v>
      </c>
      <c r="O23">
        <f t="shared" si="3"/>
        <v>0</v>
      </c>
      <c r="P23">
        <f t="shared" si="4"/>
        <v>0</v>
      </c>
    </row>
    <row r="24" spans="1:16" ht="22.25" hidden="1" customHeight="1" outlineLevel="2" x14ac:dyDescent="0.35">
      <c r="A24" s="165"/>
      <c r="B24" s="168" t="s">
        <v>174</v>
      </c>
      <c r="C24" s="168" t="s">
        <v>177</v>
      </c>
      <c r="D24" s="169" t="s">
        <v>180</v>
      </c>
      <c r="E24" s="217">
        <f>VLOOKUP(C24,Lists!$Q$5:$U$43, MATCH(D24,Lists!$Q$4:$U$4,0),0)</f>
        <v>615</v>
      </c>
      <c r="F24" s="155"/>
      <c r="G24" s="155"/>
      <c r="H24" s="155"/>
      <c r="I24" s="156"/>
      <c r="J24" s="217">
        <f t="shared" si="5"/>
        <v>0</v>
      </c>
      <c r="K24" s="219">
        <f t="shared" si="0"/>
        <v>0</v>
      </c>
      <c r="M24">
        <f t="shared" si="1"/>
        <v>0</v>
      </c>
      <c r="N24">
        <f t="shared" si="2"/>
        <v>0</v>
      </c>
      <c r="O24">
        <f t="shared" si="3"/>
        <v>0</v>
      </c>
      <c r="P24">
        <f t="shared" si="4"/>
        <v>0</v>
      </c>
    </row>
    <row r="25" spans="1:16" ht="22.25" hidden="1" customHeight="1" outlineLevel="2" x14ac:dyDescent="0.35">
      <c r="A25" s="165"/>
      <c r="B25" s="168" t="s">
        <v>170</v>
      </c>
      <c r="C25" s="168" t="s">
        <v>171</v>
      </c>
      <c r="D25" s="169" t="s">
        <v>172</v>
      </c>
      <c r="E25" s="217">
        <f>VLOOKUP(C25,Lists!$Q$5:$U$43, MATCH(D25,Lists!$Q$4:$U$4,0),0)</f>
        <v>2900</v>
      </c>
      <c r="F25" s="155"/>
      <c r="G25" s="155"/>
      <c r="H25" s="155"/>
      <c r="I25" s="156"/>
      <c r="J25" s="217">
        <f t="shared" si="5"/>
        <v>0</v>
      </c>
      <c r="K25" s="219">
        <f t="shared" si="0"/>
        <v>0</v>
      </c>
      <c r="M25">
        <f t="shared" si="1"/>
        <v>0</v>
      </c>
      <c r="N25">
        <f t="shared" si="2"/>
        <v>0</v>
      </c>
      <c r="O25">
        <f t="shared" si="3"/>
        <v>0</v>
      </c>
      <c r="P25">
        <f t="shared" si="4"/>
        <v>0</v>
      </c>
    </row>
    <row r="26" spans="1:16" ht="22.25" hidden="1" customHeight="1" outlineLevel="2" x14ac:dyDescent="0.35">
      <c r="A26" s="165"/>
      <c r="B26" s="168" t="s">
        <v>196</v>
      </c>
      <c r="C26" s="168" t="s">
        <v>197</v>
      </c>
      <c r="D26" s="169" t="s">
        <v>172</v>
      </c>
      <c r="E26" s="217">
        <f>VLOOKUP(C26,Lists!$Q$5:$U$43, MATCH(D26,Lists!$Q$4:$U$4,0),0)</f>
        <v>1986</v>
      </c>
      <c r="F26" s="155"/>
      <c r="G26" s="155"/>
      <c r="H26" s="155"/>
      <c r="I26" s="156"/>
      <c r="J26" s="217">
        <f t="shared" si="5"/>
        <v>0</v>
      </c>
      <c r="K26" s="219">
        <f t="shared" si="0"/>
        <v>0</v>
      </c>
      <c r="M26">
        <f t="shared" si="1"/>
        <v>0</v>
      </c>
      <c r="N26">
        <f t="shared" si="2"/>
        <v>0</v>
      </c>
      <c r="O26">
        <f t="shared" si="3"/>
        <v>0</v>
      </c>
      <c r="P26">
        <f t="shared" si="4"/>
        <v>0</v>
      </c>
    </row>
    <row r="27" spans="1:16" ht="22.25" hidden="1" customHeight="1" outlineLevel="2" x14ac:dyDescent="0.35">
      <c r="A27" s="165"/>
      <c r="B27" s="168" t="s">
        <v>196</v>
      </c>
      <c r="C27" s="168" t="s">
        <v>197</v>
      </c>
      <c r="D27" s="169" t="s">
        <v>172</v>
      </c>
      <c r="E27" s="217">
        <f>VLOOKUP(C27,Lists!$Q$5:$U$43, MATCH(D27,Lists!$Q$4:$U$4,0),0)</f>
        <v>1986</v>
      </c>
      <c r="F27" s="155"/>
      <c r="G27" s="155"/>
      <c r="H27" s="155"/>
      <c r="I27" s="156"/>
      <c r="J27" s="217">
        <f t="shared" si="5"/>
        <v>0</v>
      </c>
      <c r="K27" s="219">
        <f t="shared" si="0"/>
        <v>0</v>
      </c>
      <c r="M27">
        <f t="shared" si="1"/>
        <v>0</v>
      </c>
      <c r="N27">
        <f t="shared" si="2"/>
        <v>0</v>
      </c>
      <c r="O27">
        <f t="shared" si="3"/>
        <v>0</v>
      </c>
      <c r="P27">
        <f t="shared" si="4"/>
        <v>0</v>
      </c>
    </row>
    <row r="28" spans="1:16" ht="22.25" hidden="1" customHeight="1" outlineLevel="2" x14ac:dyDescent="0.35">
      <c r="A28" s="165"/>
      <c r="B28" s="168" t="s">
        <v>198</v>
      </c>
      <c r="C28" s="168" t="s">
        <v>199</v>
      </c>
      <c r="D28" s="169" t="s">
        <v>172</v>
      </c>
      <c r="E28" s="217">
        <f>VLOOKUP(C28,Lists!$Q$5:$U$43, MATCH(D28,Lists!$Q$4:$U$4,0),0)</f>
        <v>2400</v>
      </c>
      <c r="F28" s="155"/>
      <c r="G28" s="155"/>
      <c r="H28" s="155"/>
      <c r="I28" s="156"/>
      <c r="J28" s="217">
        <f t="shared" si="5"/>
        <v>0</v>
      </c>
      <c r="K28" s="219">
        <f t="shared" si="0"/>
        <v>0</v>
      </c>
      <c r="M28">
        <f t="shared" si="1"/>
        <v>0</v>
      </c>
      <c r="N28">
        <f t="shared" si="2"/>
        <v>0</v>
      </c>
      <c r="O28">
        <f t="shared" si="3"/>
        <v>0</v>
      </c>
      <c r="P28">
        <f t="shared" si="4"/>
        <v>0</v>
      </c>
    </row>
    <row r="29" spans="1:16" ht="22.25" hidden="1" customHeight="1" outlineLevel="2" x14ac:dyDescent="0.35">
      <c r="A29" s="165"/>
      <c r="B29" s="168" t="s">
        <v>182</v>
      </c>
      <c r="C29" s="168" t="s">
        <v>183</v>
      </c>
      <c r="D29" s="169" t="s">
        <v>172</v>
      </c>
      <c r="E29" s="217">
        <f>VLOOKUP(C29,Lists!$Q$5:$U$43, MATCH(D29,Lists!$Q$4:$U$4,0),0)</f>
        <v>2857</v>
      </c>
      <c r="F29" s="155"/>
      <c r="G29" s="155"/>
      <c r="H29" s="155"/>
      <c r="I29" s="156"/>
      <c r="J29" s="217">
        <f t="shared" si="5"/>
        <v>0</v>
      </c>
      <c r="K29" s="219">
        <f t="shared" si="0"/>
        <v>0</v>
      </c>
      <c r="M29">
        <f t="shared" si="1"/>
        <v>0</v>
      </c>
      <c r="N29">
        <f t="shared" si="2"/>
        <v>0</v>
      </c>
      <c r="O29">
        <f t="shared" si="3"/>
        <v>0</v>
      </c>
      <c r="P29">
        <f t="shared" si="4"/>
        <v>0</v>
      </c>
    </row>
    <row r="30" spans="1:16" ht="22.25" hidden="1" customHeight="1" outlineLevel="2" x14ac:dyDescent="0.35">
      <c r="A30" s="165"/>
      <c r="B30" s="168" t="s">
        <v>174</v>
      </c>
      <c r="C30" s="168" t="s">
        <v>177</v>
      </c>
      <c r="D30" s="169" t="s">
        <v>189</v>
      </c>
      <c r="E30" s="217">
        <f>VLOOKUP(C30,Lists!$Q$5:$U$43, MATCH(D30,Lists!$Q$4:$U$4,0),0)</f>
        <v>2100</v>
      </c>
      <c r="F30" s="155">
        <v>0</v>
      </c>
      <c r="G30" s="155">
        <v>1</v>
      </c>
      <c r="H30" s="155">
        <v>1</v>
      </c>
      <c r="I30" s="156">
        <v>1</v>
      </c>
      <c r="J30" s="217">
        <f t="shared" si="5"/>
        <v>3</v>
      </c>
      <c r="K30" s="219">
        <f t="shared" si="0"/>
        <v>6300</v>
      </c>
      <c r="M30">
        <f t="shared" si="1"/>
        <v>6300</v>
      </c>
      <c r="N30">
        <f t="shared" si="2"/>
        <v>0</v>
      </c>
      <c r="O30">
        <f t="shared" si="3"/>
        <v>6300</v>
      </c>
      <c r="P30">
        <f t="shared" si="4"/>
        <v>0</v>
      </c>
    </row>
    <row r="31" spans="1:16" ht="22.25" hidden="1" customHeight="1" outlineLevel="2" x14ac:dyDescent="0.35">
      <c r="A31" s="165"/>
      <c r="B31" s="168" t="s">
        <v>174</v>
      </c>
      <c r="C31" s="168" t="s">
        <v>169</v>
      </c>
      <c r="D31" s="169" t="s">
        <v>180</v>
      </c>
      <c r="E31" s="217">
        <f>VLOOKUP(C31,Lists!$Q$5:$U$43, MATCH(D31,Lists!$Q$4:$U$4,0),0)</f>
        <v>615</v>
      </c>
      <c r="F31" s="155">
        <v>1</v>
      </c>
      <c r="G31" s="155">
        <v>1</v>
      </c>
      <c r="H31" s="155">
        <v>1</v>
      </c>
      <c r="I31" s="156">
        <v>1</v>
      </c>
      <c r="J31" s="217">
        <f t="shared" si="5"/>
        <v>4</v>
      </c>
      <c r="K31" s="219">
        <f t="shared" si="0"/>
        <v>2460</v>
      </c>
      <c r="M31">
        <f t="shared" si="1"/>
        <v>2460</v>
      </c>
      <c r="N31">
        <f t="shared" si="2"/>
        <v>0</v>
      </c>
      <c r="O31">
        <f t="shared" si="3"/>
        <v>0</v>
      </c>
      <c r="P31">
        <f t="shared" si="4"/>
        <v>2460</v>
      </c>
    </row>
    <row r="32" spans="1:16" ht="22.25" hidden="1" customHeight="1" outlineLevel="2" x14ac:dyDescent="0.35">
      <c r="A32" s="165"/>
      <c r="B32" s="168" t="s">
        <v>174</v>
      </c>
      <c r="C32" s="168" t="s">
        <v>169</v>
      </c>
      <c r="D32" s="169" t="s">
        <v>180</v>
      </c>
      <c r="E32" s="217">
        <f>VLOOKUP(C32,Lists!$Q$5:$U$43, MATCH(D32,Lists!$Q$4:$U$4,0),0)</f>
        <v>615</v>
      </c>
      <c r="F32" s="155">
        <v>0</v>
      </c>
      <c r="G32" s="155">
        <v>2</v>
      </c>
      <c r="H32" s="155">
        <v>1</v>
      </c>
      <c r="I32" s="156">
        <v>1</v>
      </c>
      <c r="J32" s="217">
        <f>SUM(F32:I32)</f>
        <v>4</v>
      </c>
      <c r="K32" s="219">
        <f t="shared" si="0"/>
        <v>2460</v>
      </c>
      <c r="M32">
        <f t="shared" si="1"/>
        <v>2460</v>
      </c>
      <c r="N32">
        <f t="shared" si="2"/>
        <v>0</v>
      </c>
      <c r="O32">
        <f t="shared" si="3"/>
        <v>0</v>
      </c>
      <c r="P32">
        <f t="shared" si="4"/>
        <v>2460</v>
      </c>
    </row>
    <row r="33" spans="1:16" ht="22.25" hidden="1" customHeight="1" outlineLevel="2" x14ac:dyDescent="0.35">
      <c r="A33" s="165"/>
      <c r="B33" s="168" t="s">
        <v>200</v>
      </c>
      <c r="C33" s="168" t="s">
        <v>201</v>
      </c>
      <c r="D33" s="169" t="s">
        <v>180</v>
      </c>
      <c r="E33" s="217">
        <f>VLOOKUP(C33,Lists!$Q$5:$U$43, MATCH(D33,Lists!$Q$4:$U$4,0),0)</f>
        <v>615</v>
      </c>
      <c r="F33" s="155"/>
      <c r="G33" s="155"/>
      <c r="H33" s="155"/>
      <c r="I33" s="156"/>
      <c r="J33" s="217">
        <f t="shared" si="5"/>
        <v>0</v>
      </c>
      <c r="K33" s="219">
        <f t="shared" si="0"/>
        <v>0</v>
      </c>
      <c r="M33">
        <f t="shared" si="1"/>
        <v>0</v>
      </c>
      <c r="N33">
        <f t="shared" si="2"/>
        <v>0</v>
      </c>
      <c r="O33">
        <f t="shared" si="3"/>
        <v>0</v>
      </c>
      <c r="P33">
        <f t="shared" si="4"/>
        <v>0</v>
      </c>
    </row>
    <row r="34" spans="1:16" ht="22.25" hidden="1" customHeight="1" outlineLevel="2" x14ac:dyDescent="0.35">
      <c r="A34" s="166"/>
      <c r="B34" s="168" t="s">
        <v>200</v>
      </c>
      <c r="C34" s="168" t="s">
        <v>201</v>
      </c>
      <c r="D34" s="169" t="s">
        <v>180</v>
      </c>
      <c r="E34" s="217">
        <f>VLOOKUP(C34,Lists!$Q$5:$U$43, MATCH(D34,Lists!$Q$4:$U$4,0),0)</f>
        <v>615</v>
      </c>
      <c r="F34" s="155"/>
      <c r="G34" s="155"/>
      <c r="H34" s="155"/>
      <c r="I34" s="156"/>
      <c r="J34" s="217">
        <f>SUM(F34:I34)</f>
        <v>0</v>
      </c>
      <c r="K34" s="219">
        <f t="shared" si="0"/>
        <v>0</v>
      </c>
    </row>
    <row r="35" spans="1:16" ht="22.25" hidden="1" customHeight="1" outlineLevel="2" x14ac:dyDescent="0.35">
      <c r="A35" s="180" t="s">
        <v>202</v>
      </c>
      <c r="B35" s="168" t="s">
        <v>203</v>
      </c>
      <c r="C35" s="168" t="s">
        <v>204</v>
      </c>
      <c r="D35" s="169" t="s">
        <v>172</v>
      </c>
      <c r="E35" s="217">
        <f>VLOOKUP(C35,Lists!$Q$5:$U$43, MATCH(D35,Lists!$Q$4:$U$4,0),0)</f>
        <v>1800</v>
      </c>
      <c r="F35" s="155"/>
      <c r="G35" s="155"/>
      <c r="H35" s="155"/>
      <c r="I35" s="156"/>
      <c r="J35" s="217">
        <f>SUM(F35:I35)</f>
        <v>0</v>
      </c>
      <c r="K35" s="219">
        <f t="shared" si="0"/>
        <v>0</v>
      </c>
    </row>
    <row r="36" spans="1:16" ht="22.25" hidden="1" customHeight="1" outlineLevel="2" x14ac:dyDescent="0.35">
      <c r="A36" s="180" t="s">
        <v>202</v>
      </c>
      <c r="B36" s="168" t="s">
        <v>203</v>
      </c>
      <c r="C36" s="168" t="s">
        <v>205</v>
      </c>
      <c r="D36" s="169" t="s">
        <v>189</v>
      </c>
      <c r="E36" s="217">
        <f>VLOOKUP(C36,Lists!$Q$5:$U$43, MATCH(D36,Lists!$Q$4:$U$4,0),0)</f>
        <v>0</v>
      </c>
      <c r="F36" s="155"/>
      <c r="G36" s="155"/>
      <c r="H36" s="155"/>
      <c r="I36" s="156"/>
      <c r="J36" s="217">
        <f>SUM(F36:I36)</f>
        <v>0</v>
      </c>
      <c r="K36" s="219">
        <f t="shared" si="0"/>
        <v>0</v>
      </c>
    </row>
    <row r="37" spans="1:16" ht="22.25" hidden="1" customHeight="1" outlineLevel="2" x14ac:dyDescent="0.35">
      <c r="A37" s="180" t="s">
        <v>202</v>
      </c>
      <c r="B37" s="168" t="s">
        <v>203</v>
      </c>
      <c r="C37" s="168" t="s">
        <v>206</v>
      </c>
      <c r="D37" s="169" t="s">
        <v>180</v>
      </c>
      <c r="E37" s="217">
        <f>VLOOKUP(C37,Lists!$Q$5:$U$43, MATCH(D37,Lists!$Q$4:$U$4,0),0)</f>
        <v>0</v>
      </c>
      <c r="F37" s="155"/>
      <c r="G37" s="155"/>
      <c r="H37" s="155"/>
      <c r="I37" s="156"/>
      <c r="J37" s="217">
        <f>SUM(F37:I37)</f>
        <v>0</v>
      </c>
      <c r="K37" s="219">
        <f t="shared" si="0"/>
        <v>0</v>
      </c>
    </row>
    <row r="38" spans="1:16" ht="22.25" hidden="1" customHeight="1" outlineLevel="2" x14ac:dyDescent="0.35">
      <c r="A38" s="180" t="s">
        <v>202</v>
      </c>
      <c r="B38" s="168" t="s">
        <v>203</v>
      </c>
      <c r="C38" s="168" t="s">
        <v>207</v>
      </c>
      <c r="D38" s="169" t="s">
        <v>180</v>
      </c>
      <c r="E38" s="217">
        <f>VLOOKUP(C38,Lists!$Q$5:$U$43, MATCH(D38,Lists!$Q$4:$U$4,0),0)</f>
        <v>0</v>
      </c>
      <c r="F38" s="155"/>
      <c r="G38" s="155"/>
      <c r="H38" s="155"/>
      <c r="I38" s="157"/>
      <c r="J38" s="217">
        <f>SUM(F38:I38)</f>
        <v>0</v>
      </c>
      <c r="K38" s="219">
        <f t="shared" si="0"/>
        <v>0</v>
      </c>
      <c r="M38">
        <f>IF(C34="Project Manager/ Scrum Master", K38,IF(C34="Program Manager",K38,0))</f>
        <v>0</v>
      </c>
      <c r="N38">
        <f>IF(D34="Internal", K38,0)</f>
        <v>0</v>
      </c>
      <c r="O38">
        <f>IF(D34="External - onsite", K38,0)</f>
        <v>0</v>
      </c>
      <c r="P38">
        <f>IF(D34="External - Offshore", K38,IF(D34="External - Nearshore",K38,0))</f>
        <v>0</v>
      </c>
    </row>
    <row r="39" spans="1:16" ht="14.75" hidden="1" customHeight="1" outlineLevel="2" x14ac:dyDescent="0.35">
      <c r="A39" s="174"/>
      <c r="B39" s="174"/>
      <c r="C39" s="174"/>
      <c r="D39" s="174"/>
      <c r="E39" s="177" t="s">
        <v>208</v>
      </c>
      <c r="F39" s="220">
        <f>SUM(F11:F38)</f>
        <v>1</v>
      </c>
      <c r="G39" s="220">
        <f>SUM(G11:G38)</f>
        <v>146.5</v>
      </c>
      <c r="H39" s="220">
        <f>SUM(H11:H38)</f>
        <v>1433</v>
      </c>
      <c r="I39" s="220">
        <f>SUM(I11:I38)</f>
        <v>98</v>
      </c>
      <c r="J39" s="220">
        <f>SUM(J11:J38)</f>
        <v>1678.5</v>
      </c>
      <c r="K39" s="219"/>
    </row>
    <row r="40" spans="1:16" ht="14.75" hidden="1" customHeight="1" outlineLevel="2" x14ac:dyDescent="0.35">
      <c r="A40" s="174"/>
      <c r="B40" s="174"/>
      <c r="C40" s="174"/>
      <c r="D40" s="174"/>
      <c r="E40" s="177" t="s">
        <v>209</v>
      </c>
      <c r="F40" s="221">
        <f>SUM((F11*$E$11)+(F12*$E$12)+(F13*$E$13)+(F14*$E$14)+(F15*$E$15)+(F16*$E$16)+(F17*$E$17)+(F18*$E$18)+(F19*$E$19)+(F20*$E$20)+(F21*$E$21)+(F22*$E$22)+(F23*$E$23)+(F24*$E$24)+(F25*$E$25)+(F26*$E$26)+(F27*$E$27)+(F28*$E$28)+(F29*$E$29)+(F30*$E$30)+(F31*$E$31)+(F32*$E$32)+(F33*$E$33)+(F38*$E$34))</f>
        <v>615</v>
      </c>
      <c r="G40" s="221">
        <f>SUM((G11*$E$11)+(G12*$E$12)+(G13*$E$13)+(G14*$E$14)+(G15*$E$15)+(G16*$E$16)+(G17*$E$17)+(G18*$E$18)+(G19*$E$19)+(G20*$E$20)+(G21*$E$21)+(G22*$E$22)+(G23*$E$23)+(G24*$E$24)+(G25*$E$25)+(G26*$E$26)+(G27*$E$27)+(G28*$E$28)+(G29*$E$29)+(G30*$E$30)+(G31*$E$31)+(G32*$E$32)+(G33*$E$33)+(G38*$E$34))</f>
        <v>334492.5</v>
      </c>
      <c r="H40" s="221">
        <f>SUM((H11*$E$11)+(H12*$E$12)+(H13*$E$13)+(H14*$E$14)+(H15*$E$15)+(H16*$E$16)+(H17*$E$17)+(H18*$E$18)+(H19*$E$19)+(H20*$E$20)+(H21*$E$21)+(H22*$E$22)+(H23*$E$23)+(H24*$E$24)+(H25*$E$25)+(H26*$E$26)+(H27*$E$27)+(H28*$E$28)+(H29*$E$29)+(H30*$E$30)+(H31*$E$31)+(H32*$E$32)+(H33*$E$33)+(H38*$E$34))</f>
        <v>3175130</v>
      </c>
      <c r="I40" s="221">
        <f>SUM((I11*$E$11)+(I12*$E$12)+(I13*$E$13)+(I14*$E$14)+(I15*$E$15)+(I16*$E$16)+(I17*$E$17)+(I18*$E$18)+(I19*$E$19)+(I20*$E$20)+(I21*$E$21)+(I22*$E$22)+(I23*$E$23)+(I24*$E$24)+(I25*$E$25)+(I26*$E$26)+(I27*$E$27)+(I28*$E$28)+(I29*$E$29)+(I30*$E$30)+(I31*$E$31)+(I32*$E$32)+(I33*$E$33)+(I38*$E$34))</f>
        <v>226625</v>
      </c>
      <c r="J40" s="221"/>
      <c r="K40" s="222"/>
    </row>
    <row r="41" spans="1:16" ht="15.5" hidden="1" outlineLevel="2" x14ac:dyDescent="0.35">
      <c r="A41" s="1"/>
      <c r="B41" s="5"/>
      <c r="C41" s="5"/>
      <c r="D41" s="5"/>
      <c r="E41" s="5"/>
      <c r="F41" s="441" t="s">
        <v>210</v>
      </c>
      <c r="G41" s="441"/>
      <c r="H41" s="441"/>
      <c r="I41" s="441"/>
      <c r="J41" s="441"/>
      <c r="K41" s="223">
        <f>SUM(K11:K38)</f>
        <v>3736862.5</v>
      </c>
      <c r="M41">
        <f>SUM(M11:M38)</f>
        <v>2190685</v>
      </c>
      <c r="N41">
        <f>SUM(N11:N38)</f>
        <v>3605717.5</v>
      </c>
      <c r="O41">
        <f>SUM(O11:O38)</f>
        <v>6300</v>
      </c>
      <c r="P41">
        <f>SUM(P11:P38)</f>
        <v>124845</v>
      </c>
    </row>
    <row r="42" spans="1:16" hidden="1" outlineLevel="2" x14ac:dyDescent="0.35">
      <c r="A42" s="1"/>
      <c r="B42" s="5"/>
      <c r="C42" s="5"/>
      <c r="D42" s="5"/>
      <c r="E42" s="5"/>
      <c r="F42" s="5"/>
      <c r="G42" s="5"/>
      <c r="H42" s="5"/>
      <c r="I42" s="5"/>
      <c r="J42" s="5"/>
    </row>
    <row r="43" spans="1:16" hidden="1" outlineLevel="2" x14ac:dyDescent="0.35">
      <c r="I43"/>
      <c r="J43"/>
    </row>
    <row r="44" spans="1:16" hidden="1" outlineLevel="2" x14ac:dyDescent="0.35"/>
    <row r="45" spans="1:16" outlineLevel="1" x14ac:dyDescent="0.35"/>
    <row r="46" spans="1:16" ht="18.5" outlineLevel="1" collapsed="1" x14ac:dyDescent="0.45">
      <c r="A46" s="183" t="s">
        <v>211</v>
      </c>
      <c r="B46" s="183"/>
      <c r="C46" s="183"/>
      <c r="D46" s="183"/>
      <c r="E46" s="184">
        <f>E68</f>
        <v>30602</v>
      </c>
    </row>
    <row r="47" spans="1:16" hidden="1" outlineLevel="3" x14ac:dyDescent="0.35">
      <c r="A47" s="430" t="s">
        <v>212</v>
      </c>
      <c r="B47" s="430" t="s">
        <v>213</v>
      </c>
      <c r="C47" s="432" t="s">
        <v>214</v>
      </c>
      <c r="D47" s="419" t="s">
        <v>117</v>
      </c>
      <c r="E47" s="420"/>
    </row>
    <row r="48" spans="1:16" hidden="1" outlineLevel="3" x14ac:dyDescent="0.35">
      <c r="A48" s="431"/>
      <c r="B48" s="431"/>
      <c r="C48" s="433"/>
      <c r="D48" s="37" t="s">
        <v>215</v>
      </c>
      <c r="E48" s="37" t="s">
        <v>216</v>
      </c>
    </row>
    <row r="49" spans="1:5" ht="15.5" hidden="1" outlineLevel="3" x14ac:dyDescent="0.35">
      <c r="A49" s="72" t="s">
        <v>91</v>
      </c>
      <c r="B49" s="92"/>
      <c r="C49" s="92">
        <v>20000</v>
      </c>
      <c r="D49" s="38">
        <v>1</v>
      </c>
      <c r="E49" s="233">
        <f>IF(C49&lt;&gt;"",C49*D49,"-")</f>
        <v>20000</v>
      </c>
    </row>
    <row r="50" spans="1:5" ht="15.5" hidden="1" outlineLevel="3" x14ac:dyDescent="0.35">
      <c r="A50" s="72" t="s">
        <v>92</v>
      </c>
      <c r="B50" s="38"/>
      <c r="C50" s="38">
        <v>4000</v>
      </c>
      <c r="D50" s="38">
        <v>1</v>
      </c>
      <c r="E50" s="233">
        <f t="shared" ref="E50:E67" si="6">IF(C50&lt;&gt;"",C50*D50,"-")</f>
        <v>4000</v>
      </c>
    </row>
    <row r="51" spans="1:5" ht="15.5" hidden="1" outlineLevel="3" x14ac:dyDescent="0.35">
      <c r="A51" s="72" t="s">
        <v>93</v>
      </c>
      <c r="B51" s="38"/>
      <c r="C51" s="38">
        <v>6000</v>
      </c>
      <c r="D51" s="38">
        <v>1</v>
      </c>
      <c r="E51" s="233">
        <f t="shared" si="6"/>
        <v>6000</v>
      </c>
    </row>
    <row r="52" spans="1:5" ht="15.5" hidden="1" outlineLevel="3" x14ac:dyDescent="0.35">
      <c r="A52" s="72" t="s">
        <v>217</v>
      </c>
      <c r="B52" s="38"/>
      <c r="C52" s="38">
        <v>2</v>
      </c>
      <c r="D52" s="38">
        <v>1</v>
      </c>
      <c r="E52" s="233">
        <f t="shared" si="6"/>
        <v>2</v>
      </c>
    </row>
    <row r="53" spans="1:5" ht="15.5" hidden="1" outlineLevel="3" x14ac:dyDescent="0.35">
      <c r="A53" s="72" t="s">
        <v>217</v>
      </c>
      <c r="B53" s="38"/>
      <c r="C53" s="38"/>
      <c r="D53" s="38"/>
      <c r="E53" s="233" t="str">
        <f t="shared" si="6"/>
        <v>-</v>
      </c>
    </row>
    <row r="54" spans="1:5" ht="15.5" hidden="1" outlineLevel="3" x14ac:dyDescent="0.35">
      <c r="A54" s="72" t="s">
        <v>217</v>
      </c>
      <c r="B54" s="38"/>
      <c r="C54" s="38"/>
      <c r="D54" s="38"/>
      <c r="E54" s="233" t="str">
        <f t="shared" si="6"/>
        <v>-</v>
      </c>
    </row>
    <row r="55" spans="1:5" ht="15.5" hidden="1" outlineLevel="3" x14ac:dyDescent="0.35">
      <c r="A55" s="72" t="s">
        <v>217</v>
      </c>
      <c r="B55" s="38"/>
      <c r="C55" s="38"/>
      <c r="D55" s="38"/>
      <c r="E55" s="233" t="str">
        <f t="shared" si="6"/>
        <v>-</v>
      </c>
    </row>
    <row r="56" spans="1:5" ht="15.5" hidden="1" outlineLevel="3" x14ac:dyDescent="0.35">
      <c r="A56" s="72"/>
      <c r="B56" s="38"/>
      <c r="C56" s="38"/>
      <c r="D56" s="38"/>
      <c r="E56" s="233"/>
    </row>
    <row r="57" spans="1:5" ht="15.5" hidden="1" outlineLevel="3" x14ac:dyDescent="0.35">
      <c r="A57" s="72" t="s">
        <v>217</v>
      </c>
      <c r="B57" s="38"/>
      <c r="C57" s="38"/>
      <c r="D57" s="38"/>
      <c r="E57" s="233" t="str">
        <f t="shared" si="6"/>
        <v>-</v>
      </c>
    </row>
    <row r="58" spans="1:5" ht="15.5" hidden="1" outlineLevel="3" x14ac:dyDescent="0.35">
      <c r="A58" s="72" t="s">
        <v>217</v>
      </c>
      <c r="B58" s="38"/>
      <c r="C58" s="38"/>
      <c r="D58" s="38"/>
      <c r="E58" s="233" t="str">
        <f t="shared" si="6"/>
        <v>-</v>
      </c>
    </row>
    <row r="59" spans="1:5" ht="15.5" hidden="1" outlineLevel="3" x14ac:dyDescent="0.35">
      <c r="A59" s="72" t="s">
        <v>217</v>
      </c>
      <c r="B59" s="38"/>
      <c r="C59" s="38"/>
      <c r="D59" s="38"/>
      <c r="E59" s="233" t="str">
        <f t="shared" si="6"/>
        <v>-</v>
      </c>
    </row>
    <row r="60" spans="1:5" ht="15.5" hidden="1" outlineLevel="3" x14ac:dyDescent="0.35">
      <c r="A60" s="72" t="s">
        <v>217</v>
      </c>
      <c r="B60" s="38"/>
      <c r="C60" s="38"/>
      <c r="D60" s="38"/>
      <c r="E60" s="233" t="str">
        <f t="shared" si="6"/>
        <v>-</v>
      </c>
    </row>
    <row r="61" spans="1:5" ht="15.5" hidden="1" outlineLevel="3" x14ac:dyDescent="0.35">
      <c r="A61" s="72" t="s">
        <v>217</v>
      </c>
      <c r="B61" s="38"/>
      <c r="C61" s="38"/>
      <c r="D61" s="38"/>
      <c r="E61" s="233" t="str">
        <f t="shared" si="6"/>
        <v>-</v>
      </c>
    </row>
    <row r="62" spans="1:5" ht="15.5" hidden="1" outlineLevel="3" x14ac:dyDescent="0.35">
      <c r="A62" s="72" t="s">
        <v>217</v>
      </c>
      <c r="B62" s="38"/>
      <c r="C62" s="38"/>
      <c r="D62" s="38"/>
      <c r="E62" s="233" t="str">
        <f t="shared" si="6"/>
        <v>-</v>
      </c>
    </row>
    <row r="63" spans="1:5" ht="15.5" hidden="1" outlineLevel="3" x14ac:dyDescent="0.35">
      <c r="A63" s="72" t="s">
        <v>217</v>
      </c>
      <c r="B63" s="38"/>
      <c r="C63" s="38"/>
      <c r="D63" s="38"/>
      <c r="E63" s="233" t="str">
        <f t="shared" si="6"/>
        <v>-</v>
      </c>
    </row>
    <row r="64" spans="1:5" ht="15.5" hidden="1" outlineLevel="3" x14ac:dyDescent="0.35">
      <c r="A64" s="72" t="s">
        <v>217</v>
      </c>
      <c r="B64" s="38"/>
      <c r="C64" s="38"/>
      <c r="D64" s="38"/>
      <c r="E64" s="233" t="str">
        <f t="shared" si="6"/>
        <v>-</v>
      </c>
    </row>
    <row r="65" spans="1:5" ht="15.5" hidden="1" outlineLevel="3" x14ac:dyDescent="0.35">
      <c r="A65" s="72" t="s">
        <v>217</v>
      </c>
      <c r="B65" s="38"/>
      <c r="C65" s="38"/>
      <c r="D65" s="38"/>
      <c r="E65" s="233" t="str">
        <f t="shared" si="6"/>
        <v>-</v>
      </c>
    </row>
    <row r="66" spans="1:5" ht="15.5" hidden="1" outlineLevel="3" x14ac:dyDescent="0.35">
      <c r="A66" s="72" t="s">
        <v>217</v>
      </c>
      <c r="B66" s="38"/>
      <c r="C66" s="38"/>
      <c r="D66" s="38"/>
      <c r="E66" s="233" t="str">
        <f t="shared" si="6"/>
        <v>-</v>
      </c>
    </row>
    <row r="67" spans="1:5" ht="15.5" hidden="1" outlineLevel="3" x14ac:dyDescent="0.35">
      <c r="A67" s="72" t="s">
        <v>94</v>
      </c>
      <c r="B67" s="38"/>
      <c r="C67" s="38">
        <v>600</v>
      </c>
      <c r="D67" s="38">
        <v>1</v>
      </c>
      <c r="E67" s="233">
        <f t="shared" si="6"/>
        <v>600</v>
      </c>
    </row>
    <row r="68" spans="1:5" ht="15" hidden="1" outlineLevel="3" thickBot="1" x14ac:dyDescent="0.4">
      <c r="A68" s="435" t="s">
        <v>218</v>
      </c>
      <c r="B68" s="436"/>
      <c r="C68" s="437"/>
      <c r="D68" s="234"/>
      <c r="E68" s="235">
        <f>SUM(E49:E67)</f>
        <v>30602</v>
      </c>
    </row>
    <row r="69" spans="1:5" outlineLevel="1" x14ac:dyDescent="0.35"/>
    <row r="70" spans="1:5" ht="18.5" outlineLevel="1" collapsed="1" x14ac:dyDescent="0.45">
      <c r="A70" s="183" t="s">
        <v>46</v>
      </c>
      <c r="B70" s="183"/>
      <c r="C70" s="183"/>
      <c r="D70" s="183"/>
      <c r="E70" s="184">
        <f>E93</f>
        <v>22020</v>
      </c>
    </row>
    <row r="71" spans="1:5" hidden="1" outlineLevel="2" x14ac:dyDescent="0.35">
      <c r="A71" s="430" t="s">
        <v>219</v>
      </c>
      <c r="B71" s="430" t="s">
        <v>220</v>
      </c>
      <c r="C71" s="432" t="s">
        <v>214</v>
      </c>
      <c r="D71" s="419" t="s">
        <v>117</v>
      </c>
      <c r="E71" s="420"/>
    </row>
    <row r="72" spans="1:5" hidden="1" outlineLevel="2" x14ac:dyDescent="0.35">
      <c r="A72" s="431"/>
      <c r="B72" s="431"/>
      <c r="C72" s="433"/>
      <c r="D72" s="37" t="s">
        <v>221</v>
      </c>
      <c r="E72" s="37" t="s">
        <v>216</v>
      </c>
    </row>
    <row r="73" spans="1:5" hidden="1" outlineLevel="2" x14ac:dyDescent="0.35">
      <c r="A73" s="92" t="s">
        <v>222</v>
      </c>
      <c r="B73" s="92" t="s">
        <v>223</v>
      </c>
      <c r="C73" s="92">
        <v>11000</v>
      </c>
      <c r="D73" s="38">
        <v>1</v>
      </c>
      <c r="E73" s="233">
        <f>IF(C73&lt;&gt;"",C73*D73,"-")</f>
        <v>11000</v>
      </c>
    </row>
    <row r="74" spans="1:5" hidden="1" outlineLevel="2" x14ac:dyDescent="0.35">
      <c r="A74" s="38" t="s">
        <v>224</v>
      </c>
      <c r="B74" s="38" t="s">
        <v>225</v>
      </c>
      <c r="C74" s="38">
        <v>4000</v>
      </c>
      <c r="D74" s="38">
        <v>1</v>
      </c>
      <c r="E74" s="233">
        <f t="shared" ref="E74:E92" si="7">IF(C74&lt;&gt;"",C74*D74,"-")</f>
        <v>4000</v>
      </c>
    </row>
    <row r="75" spans="1:5" hidden="1" outlineLevel="2" x14ac:dyDescent="0.35">
      <c r="A75" s="38" t="s">
        <v>226</v>
      </c>
      <c r="B75" s="38"/>
      <c r="C75" s="38"/>
      <c r="D75" s="38"/>
      <c r="E75" s="233" t="str">
        <f t="shared" si="7"/>
        <v>-</v>
      </c>
    </row>
    <row r="76" spans="1:5" hidden="1" outlineLevel="2" x14ac:dyDescent="0.35">
      <c r="A76" s="38" t="s">
        <v>226</v>
      </c>
      <c r="B76" s="38"/>
      <c r="C76" s="38"/>
      <c r="D76" s="38"/>
      <c r="E76" s="233" t="str">
        <f t="shared" si="7"/>
        <v>-</v>
      </c>
    </row>
    <row r="77" spans="1:5" hidden="1" outlineLevel="2" x14ac:dyDescent="0.35">
      <c r="A77" s="38" t="s">
        <v>226</v>
      </c>
      <c r="B77" s="38"/>
      <c r="C77" s="38"/>
      <c r="D77" s="38"/>
      <c r="E77" s="233" t="str">
        <f t="shared" si="7"/>
        <v>-</v>
      </c>
    </row>
    <row r="78" spans="1:5" hidden="1" outlineLevel="2" x14ac:dyDescent="0.35">
      <c r="A78" s="38" t="s">
        <v>226</v>
      </c>
      <c r="B78" s="38"/>
      <c r="C78" s="38"/>
      <c r="D78" s="38"/>
      <c r="E78" s="233" t="str">
        <f t="shared" si="7"/>
        <v>-</v>
      </c>
    </row>
    <row r="79" spans="1:5" hidden="1" outlineLevel="2" x14ac:dyDescent="0.35">
      <c r="A79" s="38" t="s">
        <v>226</v>
      </c>
      <c r="B79" s="38"/>
      <c r="C79" s="38"/>
      <c r="D79" s="38"/>
      <c r="E79" s="233" t="str">
        <f t="shared" si="7"/>
        <v>-</v>
      </c>
    </row>
    <row r="80" spans="1:5" hidden="1" outlineLevel="2" x14ac:dyDescent="0.35">
      <c r="A80" s="38" t="s">
        <v>226</v>
      </c>
      <c r="B80" s="38"/>
      <c r="C80" s="38"/>
      <c r="D80" s="38"/>
      <c r="E80" s="233" t="str">
        <f t="shared" si="7"/>
        <v>-</v>
      </c>
    </row>
    <row r="81" spans="1:6" hidden="1" outlineLevel="2" x14ac:dyDescent="0.35">
      <c r="A81" s="38" t="s">
        <v>226</v>
      </c>
      <c r="B81" s="38"/>
      <c r="C81" s="38"/>
      <c r="D81" s="38"/>
      <c r="E81" s="233" t="str">
        <f t="shared" si="7"/>
        <v>-</v>
      </c>
    </row>
    <row r="82" spans="1:6" hidden="1" outlineLevel="2" x14ac:dyDescent="0.35">
      <c r="A82" s="38" t="s">
        <v>226</v>
      </c>
      <c r="B82" s="38"/>
      <c r="C82" s="38"/>
      <c r="D82" s="38"/>
      <c r="E82" s="233" t="str">
        <f t="shared" si="7"/>
        <v>-</v>
      </c>
    </row>
    <row r="83" spans="1:6" hidden="1" outlineLevel="2" x14ac:dyDescent="0.35">
      <c r="A83" s="38" t="s">
        <v>226</v>
      </c>
      <c r="B83" s="38"/>
      <c r="C83" s="38"/>
      <c r="D83" s="38"/>
      <c r="E83" s="233" t="str">
        <f t="shared" si="7"/>
        <v>-</v>
      </c>
    </row>
    <row r="84" spans="1:6" hidden="1" outlineLevel="2" x14ac:dyDescent="0.35">
      <c r="A84" s="38" t="s">
        <v>226</v>
      </c>
      <c r="B84" s="38"/>
      <c r="C84" s="38"/>
      <c r="D84" s="38"/>
      <c r="E84" s="233" t="str">
        <f t="shared" si="7"/>
        <v>-</v>
      </c>
    </row>
    <row r="85" spans="1:6" hidden="1" outlineLevel="2" x14ac:dyDescent="0.35">
      <c r="A85" s="38" t="s">
        <v>226</v>
      </c>
      <c r="B85" s="38"/>
      <c r="C85" s="38"/>
      <c r="D85" s="38"/>
      <c r="E85" s="233" t="str">
        <f t="shared" si="7"/>
        <v>-</v>
      </c>
    </row>
    <row r="86" spans="1:6" hidden="1" outlineLevel="2" x14ac:dyDescent="0.35">
      <c r="A86" s="38" t="s">
        <v>226</v>
      </c>
      <c r="B86" s="38"/>
      <c r="C86" s="38"/>
      <c r="D86" s="38"/>
      <c r="E86" s="233" t="str">
        <f t="shared" si="7"/>
        <v>-</v>
      </c>
    </row>
    <row r="87" spans="1:6" hidden="1" outlineLevel="2" x14ac:dyDescent="0.35">
      <c r="A87" s="38" t="s">
        <v>226</v>
      </c>
      <c r="B87" s="38"/>
      <c r="C87" s="38"/>
      <c r="D87" s="38"/>
      <c r="E87" s="233" t="str">
        <f t="shared" si="7"/>
        <v>-</v>
      </c>
    </row>
    <row r="88" spans="1:6" hidden="1" outlineLevel="2" x14ac:dyDescent="0.35">
      <c r="A88" s="38" t="s">
        <v>224</v>
      </c>
      <c r="B88" s="38" t="s">
        <v>227</v>
      </c>
      <c r="C88" s="38">
        <v>6000</v>
      </c>
      <c r="D88" s="38">
        <v>1</v>
      </c>
      <c r="E88" s="233">
        <f t="shared" si="7"/>
        <v>6000</v>
      </c>
    </row>
    <row r="89" spans="1:6" hidden="1" outlineLevel="2" x14ac:dyDescent="0.35">
      <c r="A89" s="38" t="s">
        <v>222</v>
      </c>
      <c r="B89" s="38" t="s">
        <v>227</v>
      </c>
      <c r="C89" s="38">
        <v>600</v>
      </c>
      <c r="D89" s="38">
        <v>1</v>
      </c>
      <c r="E89" s="233">
        <f t="shared" si="7"/>
        <v>600</v>
      </c>
    </row>
    <row r="90" spans="1:6" hidden="1" outlineLevel="2" x14ac:dyDescent="0.35">
      <c r="A90" s="38" t="s">
        <v>222</v>
      </c>
      <c r="B90" s="38" t="s">
        <v>227</v>
      </c>
      <c r="C90" s="38">
        <v>420</v>
      </c>
      <c r="D90" s="38">
        <v>1</v>
      </c>
      <c r="E90" s="233">
        <f t="shared" si="7"/>
        <v>420</v>
      </c>
    </row>
    <row r="91" spans="1:6" hidden="1" outlineLevel="2" x14ac:dyDescent="0.35">
      <c r="A91" s="38"/>
      <c r="B91" s="38"/>
      <c r="C91" s="38"/>
      <c r="D91" s="38"/>
      <c r="E91" s="233" t="str">
        <f t="shared" si="7"/>
        <v>-</v>
      </c>
    </row>
    <row r="92" spans="1:6" hidden="1" outlineLevel="2" x14ac:dyDescent="0.35">
      <c r="A92" s="38"/>
      <c r="B92" s="38"/>
      <c r="C92" s="38"/>
      <c r="D92" s="38"/>
      <c r="E92" s="233" t="str">
        <f t="shared" si="7"/>
        <v>-</v>
      </c>
    </row>
    <row r="93" spans="1:6" ht="15" hidden="1" outlineLevel="2" thickBot="1" x14ac:dyDescent="0.4">
      <c r="A93" s="435" t="s">
        <v>228</v>
      </c>
      <c r="B93" s="436"/>
      <c r="C93" s="437"/>
      <c r="D93" s="234"/>
      <c r="E93" s="235">
        <f>SUM(E73:E92)</f>
        <v>22020</v>
      </c>
    </row>
    <row r="94" spans="1:6" outlineLevel="1" x14ac:dyDescent="0.35"/>
    <row r="95" spans="1:6" ht="18.5" outlineLevel="1" collapsed="1" x14ac:dyDescent="0.45">
      <c r="A95" s="183" t="s">
        <v>50</v>
      </c>
      <c r="B95" s="183"/>
      <c r="C95" s="183"/>
      <c r="D95" s="183"/>
      <c r="E95" s="184">
        <f>F110</f>
        <v>72000</v>
      </c>
    </row>
    <row r="96" spans="1:6" hidden="1" outlineLevel="2" x14ac:dyDescent="0.35">
      <c r="A96" s="430" t="s">
        <v>212</v>
      </c>
      <c r="B96" s="430" t="s">
        <v>213</v>
      </c>
      <c r="C96" s="432" t="s">
        <v>229</v>
      </c>
      <c r="D96" s="419" t="s">
        <v>117</v>
      </c>
      <c r="E96" s="434"/>
      <c r="F96" s="420"/>
    </row>
    <row r="97" spans="1:10" hidden="1" outlineLevel="2" x14ac:dyDescent="0.35">
      <c r="A97" s="431"/>
      <c r="B97" s="431"/>
      <c r="C97" s="433"/>
      <c r="D97" s="37" t="s">
        <v>230</v>
      </c>
      <c r="E97" s="93" t="s">
        <v>231</v>
      </c>
      <c r="F97" s="37" t="s">
        <v>216</v>
      </c>
    </row>
    <row r="98" spans="1:10" ht="15.5" hidden="1" outlineLevel="2" x14ac:dyDescent="0.35">
      <c r="A98" s="71" t="s">
        <v>96</v>
      </c>
      <c r="B98" s="71"/>
      <c r="C98" s="71"/>
      <c r="D98" s="71"/>
      <c r="E98" s="71"/>
      <c r="F98" s="71"/>
    </row>
    <row r="99" spans="1:10" ht="15.5" hidden="1" outlineLevel="2" x14ac:dyDescent="0.35">
      <c r="A99" s="72" t="s">
        <v>97</v>
      </c>
      <c r="B99" s="92"/>
      <c r="C99" s="92">
        <v>5000</v>
      </c>
      <c r="D99" s="38">
        <v>1</v>
      </c>
      <c r="E99" s="68">
        <v>10</v>
      </c>
      <c r="F99" s="236">
        <f>IF(C99&lt;&gt;"",C99*D99*E99,"-")</f>
        <v>50000</v>
      </c>
    </row>
    <row r="100" spans="1:10" ht="15.5" hidden="1" outlineLevel="2" x14ac:dyDescent="0.35">
      <c r="A100" s="72" t="s">
        <v>98</v>
      </c>
      <c r="B100" s="38"/>
      <c r="C100" s="38">
        <v>5000</v>
      </c>
      <c r="D100" s="38">
        <v>2</v>
      </c>
      <c r="E100" s="68">
        <v>1</v>
      </c>
      <c r="F100" s="236">
        <f t="shared" ref="F100:F109" si="8">IF(C100&lt;&gt;"",C100*D100*E100,"-")</f>
        <v>10000</v>
      </c>
    </row>
    <row r="101" spans="1:10" ht="43.5" hidden="1" outlineLevel="2" x14ac:dyDescent="0.35">
      <c r="A101" s="72" t="s">
        <v>99</v>
      </c>
      <c r="B101" s="95" t="s">
        <v>232</v>
      </c>
      <c r="C101" s="38">
        <v>1200</v>
      </c>
      <c r="D101" s="38">
        <v>1</v>
      </c>
      <c r="E101" s="68">
        <v>10</v>
      </c>
      <c r="F101" s="236">
        <f t="shared" si="8"/>
        <v>12000</v>
      </c>
    </row>
    <row r="102" spans="1:10" ht="15.5" hidden="1" outlineLevel="2" x14ac:dyDescent="0.35">
      <c r="A102" s="72" t="s">
        <v>100</v>
      </c>
      <c r="B102" s="38"/>
      <c r="C102" s="38">
        <v>0</v>
      </c>
      <c r="D102" s="38">
        <v>0</v>
      </c>
      <c r="E102" s="68">
        <v>0</v>
      </c>
      <c r="F102" s="236">
        <f t="shared" si="8"/>
        <v>0</v>
      </c>
    </row>
    <row r="103" spans="1:10" ht="15.5" hidden="1" outlineLevel="2" x14ac:dyDescent="0.35">
      <c r="A103" s="72" t="s">
        <v>217</v>
      </c>
      <c r="B103" s="38"/>
      <c r="C103" s="38"/>
      <c r="D103" s="38"/>
      <c r="E103" s="68"/>
      <c r="F103" s="236" t="str">
        <f t="shared" si="8"/>
        <v>-</v>
      </c>
    </row>
    <row r="104" spans="1:10" ht="15.5" hidden="1" outlineLevel="2" x14ac:dyDescent="0.35">
      <c r="A104" s="72" t="s">
        <v>217</v>
      </c>
      <c r="B104" s="38"/>
      <c r="C104" s="38"/>
      <c r="D104" s="38"/>
      <c r="E104" s="68"/>
      <c r="F104" s="236" t="str">
        <f t="shared" si="8"/>
        <v>-</v>
      </c>
    </row>
    <row r="105" spans="1:10" ht="15.5" hidden="1" outlineLevel="2" x14ac:dyDescent="0.35">
      <c r="A105" s="72" t="s">
        <v>217</v>
      </c>
      <c r="B105" s="38"/>
      <c r="C105" s="38"/>
      <c r="D105" s="38"/>
      <c r="E105" s="68"/>
      <c r="F105" s="236" t="str">
        <f t="shared" si="8"/>
        <v>-</v>
      </c>
    </row>
    <row r="106" spans="1:10" ht="15.5" hidden="1" outlineLevel="2" x14ac:dyDescent="0.35">
      <c r="A106" s="72" t="s">
        <v>217</v>
      </c>
      <c r="B106" s="38"/>
      <c r="C106" s="38"/>
      <c r="D106" s="38"/>
      <c r="E106" s="68"/>
      <c r="F106" s="236" t="str">
        <f t="shared" si="8"/>
        <v>-</v>
      </c>
    </row>
    <row r="107" spans="1:10" ht="15.5" hidden="1" outlineLevel="2" x14ac:dyDescent="0.35">
      <c r="A107" s="72" t="s">
        <v>217</v>
      </c>
      <c r="B107" s="38"/>
      <c r="C107" s="38"/>
      <c r="D107" s="38"/>
      <c r="E107" s="68"/>
      <c r="F107" s="236" t="str">
        <f t="shared" si="8"/>
        <v>-</v>
      </c>
    </row>
    <row r="108" spans="1:10" ht="15.5" hidden="1" outlineLevel="2" x14ac:dyDescent="0.35">
      <c r="A108" s="72" t="s">
        <v>101</v>
      </c>
      <c r="B108" s="38"/>
      <c r="C108" s="38">
        <v>0</v>
      </c>
      <c r="D108" s="38">
        <v>0</v>
      </c>
      <c r="E108" s="68">
        <v>0</v>
      </c>
      <c r="F108" s="236">
        <f t="shared" si="8"/>
        <v>0</v>
      </c>
    </row>
    <row r="109" spans="1:10" ht="15.5" hidden="1" outlineLevel="2" x14ac:dyDescent="0.35">
      <c r="A109" s="72" t="s">
        <v>102</v>
      </c>
      <c r="B109" s="38"/>
      <c r="C109" s="38">
        <v>0</v>
      </c>
      <c r="D109" s="38">
        <v>0</v>
      </c>
      <c r="E109" s="68">
        <v>0</v>
      </c>
      <c r="F109" s="236">
        <f t="shared" si="8"/>
        <v>0</v>
      </c>
    </row>
    <row r="110" spans="1:10" ht="15" hidden="1" outlineLevel="2" thickBot="1" x14ac:dyDescent="0.4">
      <c r="A110" s="427" t="s">
        <v>218</v>
      </c>
      <c r="B110" s="428"/>
      <c r="C110" s="428"/>
      <c r="D110" s="428"/>
      <c r="E110" s="429"/>
      <c r="F110" s="237">
        <f>SUM(F99:F109)</f>
        <v>72000</v>
      </c>
    </row>
    <row r="111" spans="1:10" outlineLevel="1" x14ac:dyDescent="0.35">
      <c r="I111"/>
      <c r="J111"/>
    </row>
    <row r="112" spans="1:10" ht="18.5" outlineLevel="1" collapsed="1" x14ac:dyDescent="0.45">
      <c r="A112" s="183" t="s">
        <v>54</v>
      </c>
      <c r="B112" s="183"/>
      <c r="C112" s="183"/>
      <c r="D112" s="183"/>
      <c r="E112" s="184">
        <f>F136</f>
        <v>7000</v>
      </c>
    </row>
    <row r="113" spans="1:6" hidden="1" outlineLevel="2" x14ac:dyDescent="0.35">
      <c r="A113" s="430" t="s">
        <v>212</v>
      </c>
      <c r="B113" s="430" t="s">
        <v>213</v>
      </c>
      <c r="C113" s="432" t="s">
        <v>233</v>
      </c>
      <c r="D113" s="419" t="s">
        <v>117</v>
      </c>
      <c r="E113" s="434"/>
      <c r="F113" s="420"/>
    </row>
    <row r="114" spans="1:6" hidden="1" outlineLevel="2" x14ac:dyDescent="0.35">
      <c r="A114" s="431"/>
      <c r="B114" s="431"/>
      <c r="C114" s="433"/>
      <c r="D114" s="37" t="s">
        <v>230</v>
      </c>
      <c r="E114" s="93" t="s">
        <v>231</v>
      </c>
      <c r="F114" s="37" t="s">
        <v>216</v>
      </c>
    </row>
    <row r="115" spans="1:6" ht="15.5" hidden="1" outlineLevel="2" x14ac:dyDescent="0.35">
      <c r="A115" s="71" t="s">
        <v>103</v>
      </c>
      <c r="B115" s="71"/>
      <c r="C115" s="71"/>
      <c r="D115" s="71"/>
      <c r="E115" s="71"/>
      <c r="F115" s="98"/>
    </row>
    <row r="116" spans="1:6" ht="15.5" hidden="1" outlineLevel="2" x14ac:dyDescent="0.35">
      <c r="A116" s="72" t="s">
        <v>104</v>
      </c>
      <c r="B116" s="92"/>
      <c r="C116" s="92">
        <v>2000</v>
      </c>
      <c r="D116" s="38">
        <v>1</v>
      </c>
      <c r="E116" s="68">
        <v>1</v>
      </c>
      <c r="F116" s="236">
        <f>IF(C116&lt;&gt;"",C116*D116*E116,"-")</f>
        <v>2000</v>
      </c>
    </row>
    <row r="117" spans="1:6" ht="15.5" hidden="1" outlineLevel="2" x14ac:dyDescent="0.35">
      <c r="A117" s="72" t="s">
        <v>105</v>
      </c>
      <c r="B117" s="95"/>
      <c r="C117" s="38">
        <v>5000</v>
      </c>
      <c r="D117" s="38">
        <v>1</v>
      </c>
      <c r="E117" s="68">
        <v>1</v>
      </c>
      <c r="F117" s="236">
        <f t="shared" ref="F117:F135" si="9">IF(C117&lt;&gt;"",C117*D117*E117,"-")</f>
        <v>5000</v>
      </c>
    </row>
    <row r="118" spans="1:6" ht="15.5" hidden="1" outlineLevel="2" x14ac:dyDescent="0.35">
      <c r="A118" s="72" t="s">
        <v>234</v>
      </c>
      <c r="B118" s="95"/>
      <c r="C118" s="38"/>
      <c r="D118" s="38"/>
      <c r="E118" s="68"/>
      <c r="F118" s="236" t="str">
        <f t="shared" si="9"/>
        <v>-</v>
      </c>
    </row>
    <row r="119" spans="1:6" ht="15.5" hidden="1" outlineLevel="2" x14ac:dyDescent="0.35">
      <c r="A119" s="72"/>
      <c r="B119" s="95"/>
      <c r="C119" s="38"/>
      <c r="D119" s="38"/>
      <c r="E119" s="68"/>
      <c r="F119" s="236" t="str">
        <f t="shared" si="9"/>
        <v>-</v>
      </c>
    </row>
    <row r="120" spans="1:6" ht="15.5" hidden="1" outlineLevel="2" x14ac:dyDescent="0.35">
      <c r="A120" s="72"/>
      <c r="B120" s="95"/>
      <c r="C120" s="38"/>
      <c r="D120" s="38"/>
      <c r="E120" s="68"/>
      <c r="F120" s="236" t="str">
        <f t="shared" si="9"/>
        <v>-</v>
      </c>
    </row>
    <row r="121" spans="1:6" ht="15.5" hidden="1" outlineLevel="2" x14ac:dyDescent="0.35">
      <c r="A121" s="72"/>
      <c r="B121" s="95"/>
      <c r="C121" s="38"/>
      <c r="D121" s="38"/>
      <c r="E121" s="68"/>
      <c r="F121" s="236" t="str">
        <f t="shared" si="9"/>
        <v>-</v>
      </c>
    </row>
    <row r="122" spans="1:6" ht="15.5" hidden="1" outlineLevel="2" x14ac:dyDescent="0.35">
      <c r="A122" s="72"/>
      <c r="B122" s="95"/>
      <c r="C122" s="38"/>
      <c r="D122" s="38"/>
      <c r="E122" s="68"/>
      <c r="F122" s="236" t="str">
        <f t="shared" si="9"/>
        <v>-</v>
      </c>
    </row>
    <row r="123" spans="1:6" ht="15.5" hidden="1" outlineLevel="2" x14ac:dyDescent="0.35">
      <c r="A123" s="72"/>
      <c r="B123" s="95"/>
      <c r="C123" s="38"/>
      <c r="D123" s="38"/>
      <c r="E123" s="68"/>
      <c r="F123" s="236" t="str">
        <f t="shared" si="9"/>
        <v>-</v>
      </c>
    </row>
    <row r="124" spans="1:6" ht="15.5" hidden="1" outlineLevel="2" x14ac:dyDescent="0.35">
      <c r="A124" s="72"/>
      <c r="B124" s="95"/>
      <c r="C124" s="38"/>
      <c r="D124" s="38"/>
      <c r="E124" s="68"/>
      <c r="F124" s="236" t="str">
        <f t="shared" si="9"/>
        <v>-</v>
      </c>
    </row>
    <row r="125" spans="1:6" ht="15.5" hidden="1" outlineLevel="2" x14ac:dyDescent="0.35">
      <c r="A125" s="72"/>
      <c r="B125" s="95"/>
      <c r="C125" s="38"/>
      <c r="D125" s="38"/>
      <c r="E125" s="68"/>
      <c r="F125" s="236" t="str">
        <f t="shared" si="9"/>
        <v>-</v>
      </c>
    </row>
    <row r="126" spans="1:6" ht="15.5" hidden="1" outlineLevel="2" x14ac:dyDescent="0.35">
      <c r="A126" s="72"/>
      <c r="B126" s="95"/>
      <c r="C126" s="38"/>
      <c r="D126" s="38"/>
      <c r="E126" s="68"/>
      <c r="F126" s="236" t="str">
        <f t="shared" si="9"/>
        <v>-</v>
      </c>
    </row>
    <row r="127" spans="1:6" ht="15.5" hidden="1" outlineLevel="2" x14ac:dyDescent="0.35">
      <c r="A127" s="72"/>
      <c r="B127" s="95"/>
      <c r="C127" s="38"/>
      <c r="D127" s="38"/>
      <c r="E127" s="68"/>
      <c r="F127" s="236" t="str">
        <f t="shared" si="9"/>
        <v>-</v>
      </c>
    </row>
    <row r="128" spans="1:6" ht="15.5" hidden="1" outlineLevel="2" x14ac:dyDescent="0.35">
      <c r="A128" s="72"/>
      <c r="B128" s="95"/>
      <c r="C128" s="38"/>
      <c r="D128" s="38"/>
      <c r="E128" s="68"/>
      <c r="F128" s="236" t="str">
        <f t="shared" si="9"/>
        <v>-</v>
      </c>
    </row>
    <row r="129" spans="1:19" ht="15.5" hidden="1" outlineLevel="2" x14ac:dyDescent="0.35">
      <c r="A129" s="72"/>
      <c r="B129" s="95"/>
      <c r="C129" s="38"/>
      <c r="D129" s="38"/>
      <c r="E129" s="68"/>
      <c r="F129" s="236" t="str">
        <f t="shared" si="9"/>
        <v>-</v>
      </c>
    </row>
    <row r="130" spans="1:19" ht="15.5" hidden="1" outlineLevel="2" x14ac:dyDescent="0.35">
      <c r="A130" s="72"/>
      <c r="B130" s="95"/>
      <c r="C130" s="38"/>
      <c r="D130" s="38"/>
      <c r="E130" s="68"/>
      <c r="F130" s="236" t="str">
        <f t="shared" si="9"/>
        <v>-</v>
      </c>
    </row>
    <row r="131" spans="1:19" ht="15.5" hidden="1" outlineLevel="2" x14ac:dyDescent="0.35">
      <c r="A131" s="72"/>
      <c r="B131" s="95"/>
      <c r="C131" s="38"/>
      <c r="D131" s="38"/>
      <c r="E131" s="68"/>
      <c r="F131" s="236" t="str">
        <f t="shared" si="9"/>
        <v>-</v>
      </c>
    </row>
    <row r="132" spans="1:19" ht="15.5" hidden="1" outlineLevel="2" x14ac:dyDescent="0.35">
      <c r="A132" s="72" t="s">
        <v>106</v>
      </c>
      <c r="B132" s="38"/>
      <c r="C132" s="38">
        <v>0</v>
      </c>
      <c r="D132" s="38">
        <v>0</v>
      </c>
      <c r="E132" s="68">
        <v>0</v>
      </c>
      <c r="F132" s="236">
        <f t="shared" si="9"/>
        <v>0</v>
      </c>
    </row>
    <row r="133" spans="1:19" ht="15.5" hidden="1" outlineLevel="2" x14ac:dyDescent="0.35">
      <c r="A133" s="72" t="s">
        <v>107</v>
      </c>
      <c r="B133" s="38"/>
      <c r="C133" s="38">
        <v>0</v>
      </c>
      <c r="D133" s="38">
        <v>0</v>
      </c>
      <c r="E133" s="68">
        <v>0</v>
      </c>
      <c r="F133" s="236">
        <f t="shared" si="9"/>
        <v>0</v>
      </c>
    </row>
    <row r="134" spans="1:19" ht="15.5" hidden="1" outlineLevel="2" x14ac:dyDescent="0.35">
      <c r="A134" s="72" t="s">
        <v>108</v>
      </c>
      <c r="B134" s="38"/>
      <c r="C134" s="38">
        <v>0</v>
      </c>
      <c r="D134" s="38">
        <v>0</v>
      </c>
      <c r="E134" s="68">
        <v>0</v>
      </c>
      <c r="F134" s="236">
        <f t="shared" si="9"/>
        <v>0</v>
      </c>
    </row>
    <row r="135" spans="1:19" ht="15.5" hidden="1" outlineLevel="2" x14ac:dyDescent="0.35">
      <c r="A135" s="72" t="s">
        <v>109</v>
      </c>
      <c r="B135" s="38"/>
      <c r="C135" s="38">
        <v>0</v>
      </c>
      <c r="D135" s="38">
        <v>0</v>
      </c>
      <c r="E135" s="68">
        <v>0</v>
      </c>
      <c r="F135" s="236">
        <f t="shared" si="9"/>
        <v>0</v>
      </c>
    </row>
    <row r="136" spans="1:19" ht="15" hidden="1" outlineLevel="2" thickBot="1" x14ac:dyDescent="0.4">
      <c r="A136" s="427" t="s">
        <v>218</v>
      </c>
      <c r="B136" s="428"/>
      <c r="C136" s="428"/>
      <c r="D136" s="428"/>
      <c r="E136" s="429"/>
      <c r="F136" s="237">
        <f>SUM(F116:F135)</f>
        <v>7000</v>
      </c>
    </row>
    <row r="137" spans="1:19" outlineLevel="1" x14ac:dyDescent="0.35">
      <c r="I137"/>
      <c r="J137"/>
    </row>
    <row r="138" spans="1:19" ht="18.5" outlineLevel="1" x14ac:dyDescent="0.45">
      <c r="A138" s="183" t="s">
        <v>235</v>
      </c>
      <c r="B138" s="183"/>
      <c r="C138" s="183"/>
      <c r="D138" s="183"/>
      <c r="E138" s="184">
        <f>Assumptions!C5</f>
        <v>450018.75</v>
      </c>
    </row>
    <row r="140" spans="1:19" ht="18.5" collapsed="1" x14ac:dyDescent="0.45">
      <c r="A140" s="385" t="s">
        <v>59</v>
      </c>
      <c r="B140" s="385"/>
      <c r="C140" s="385"/>
      <c r="D140" s="385"/>
      <c r="E140" s="386">
        <f>E142</f>
        <v>669985</v>
      </c>
      <c r="F140" s="353"/>
      <c r="G140" s="353"/>
      <c r="H140" s="353"/>
      <c r="I140" s="353"/>
      <c r="J140" s="353"/>
      <c r="K140" s="353"/>
    </row>
    <row r="141" spans="1:19" hidden="1" outlineLevel="1" x14ac:dyDescent="0.35">
      <c r="I141"/>
      <c r="J141"/>
    </row>
    <row r="142" spans="1:19" ht="32.25" hidden="1" customHeight="1" outlineLevel="1" collapsed="1" x14ac:dyDescent="0.45">
      <c r="A142" s="400" t="s">
        <v>236</v>
      </c>
      <c r="B142" s="400"/>
      <c r="C142" s="400"/>
      <c r="D142" s="400"/>
      <c r="E142" s="184">
        <f>E197</f>
        <v>669985</v>
      </c>
      <c r="I142"/>
      <c r="J142"/>
    </row>
    <row r="143" spans="1:19" hidden="1" outlineLevel="2" x14ac:dyDescent="0.35">
      <c r="A143" s="425" t="s">
        <v>237</v>
      </c>
      <c r="B143" s="425" t="s">
        <v>238</v>
      </c>
      <c r="C143" s="425" t="s">
        <v>239</v>
      </c>
      <c r="D143" s="425" t="s">
        <v>240</v>
      </c>
      <c r="E143" s="425" t="s">
        <v>158</v>
      </c>
      <c r="F143" s="419" t="s">
        <v>117</v>
      </c>
      <c r="G143" s="420"/>
      <c r="H143" s="419" t="s">
        <v>118</v>
      </c>
      <c r="I143" s="420"/>
      <c r="J143" s="419" t="s">
        <v>119</v>
      </c>
      <c r="K143" s="420"/>
      <c r="L143" s="419" t="s">
        <v>120</v>
      </c>
      <c r="M143" s="420"/>
      <c r="N143" s="419" t="s">
        <v>121</v>
      </c>
      <c r="O143" s="420"/>
      <c r="P143" s="419" t="s">
        <v>122</v>
      </c>
      <c r="Q143" s="420"/>
      <c r="R143" s="421" t="s">
        <v>241</v>
      </c>
      <c r="S143" s="422"/>
    </row>
    <row r="144" spans="1:19" hidden="1" outlineLevel="2" x14ac:dyDescent="0.35">
      <c r="A144" s="426"/>
      <c r="B144" s="426"/>
      <c r="C144" s="426"/>
      <c r="D144" s="426"/>
      <c r="E144" s="426"/>
      <c r="F144" s="66" t="s">
        <v>168</v>
      </c>
      <c r="G144" s="66" t="s">
        <v>242</v>
      </c>
      <c r="H144" s="66" t="s">
        <v>168</v>
      </c>
      <c r="I144" s="66" t="s">
        <v>242</v>
      </c>
      <c r="J144" s="66" t="s">
        <v>168</v>
      </c>
      <c r="K144" s="66" t="s">
        <v>242</v>
      </c>
      <c r="L144" s="66" t="s">
        <v>168</v>
      </c>
      <c r="M144" s="66" t="s">
        <v>242</v>
      </c>
      <c r="N144" s="66" t="s">
        <v>168</v>
      </c>
      <c r="O144" s="66" t="s">
        <v>242</v>
      </c>
      <c r="P144" s="65" t="s">
        <v>168</v>
      </c>
      <c r="Q144" s="65" t="s">
        <v>242</v>
      </c>
      <c r="R144" s="423"/>
      <c r="S144" s="424"/>
    </row>
    <row r="145" spans="1:19" ht="18.5" hidden="1" outlineLevel="2" collapsed="1" x14ac:dyDescent="0.45">
      <c r="A145" s="186" t="s">
        <v>243</v>
      </c>
      <c r="B145" s="187"/>
      <c r="C145" s="187"/>
      <c r="D145" s="187"/>
      <c r="E145" s="189">
        <f>S169</f>
        <v>615</v>
      </c>
      <c r="F145" s="187"/>
      <c r="G145" s="187"/>
      <c r="H145" s="187"/>
      <c r="I145" s="187"/>
      <c r="J145" s="187"/>
      <c r="K145" s="187"/>
      <c r="L145" s="187"/>
      <c r="M145" s="187"/>
      <c r="N145" s="187"/>
      <c r="O145" s="187"/>
      <c r="P145" s="187"/>
      <c r="Q145" s="187"/>
      <c r="R145" s="187"/>
      <c r="S145" s="188"/>
    </row>
    <row r="146" spans="1:19" hidden="1" outlineLevel="3" x14ac:dyDescent="0.35">
      <c r="A146" s="165" t="s">
        <v>244</v>
      </c>
      <c r="B146" s="168" t="s">
        <v>203</v>
      </c>
      <c r="C146" s="168" t="s">
        <v>204</v>
      </c>
      <c r="D146" s="169" t="s">
        <v>172</v>
      </c>
      <c r="E146" s="242">
        <f>VLOOKUP(C146,Lists!$Q$5:$U$43, MATCH(D146,Lists!$Q$4:$U$4,0),0)</f>
        <v>1800</v>
      </c>
      <c r="F146" s="170">
        <v>0</v>
      </c>
      <c r="G146" s="243">
        <f>F146*E146</f>
        <v>0</v>
      </c>
      <c r="H146" s="170">
        <v>0</v>
      </c>
      <c r="I146" s="242">
        <f>H146*E146</f>
        <v>0</v>
      </c>
      <c r="J146" s="170">
        <v>0</v>
      </c>
      <c r="K146" s="242">
        <f>J146*E146</f>
        <v>0</v>
      </c>
      <c r="L146" s="170">
        <v>0</v>
      </c>
      <c r="M146" s="242">
        <f>L146*E146</f>
        <v>0</v>
      </c>
      <c r="N146" s="170">
        <v>0</v>
      </c>
      <c r="O146" s="242">
        <f>N146*E146</f>
        <v>0</v>
      </c>
      <c r="P146" s="170">
        <v>0</v>
      </c>
      <c r="Q146" s="246">
        <f>P146*E146</f>
        <v>0</v>
      </c>
      <c r="R146" s="252">
        <f>SUM(F146+H146+J146+L146+N146+P146)</f>
        <v>0</v>
      </c>
      <c r="S146" s="253">
        <f t="shared" ref="S146:S168" si="10">R146*E146</f>
        <v>0</v>
      </c>
    </row>
    <row r="147" spans="1:19" hidden="1" outlineLevel="3" x14ac:dyDescent="0.35">
      <c r="A147" s="165" t="s">
        <v>245</v>
      </c>
      <c r="B147" s="168" t="s">
        <v>246</v>
      </c>
      <c r="C147" s="168" t="s">
        <v>247</v>
      </c>
      <c r="D147" s="169" t="s">
        <v>172</v>
      </c>
      <c r="E147" s="242">
        <f>VLOOKUP(C147,Lists!$Q$5:$U$43, MATCH(D147,Lists!$Q$4:$U$4,0),0)</f>
        <v>2000</v>
      </c>
      <c r="F147" s="170">
        <v>0</v>
      </c>
      <c r="G147" s="243">
        <f t="shared" ref="G147:G168" si="11">F147*E147</f>
        <v>0</v>
      </c>
      <c r="H147" s="170">
        <v>0</v>
      </c>
      <c r="I147" s="242">
        <f t="shared" ref="I147:I168" si="12">H147*E147</f>
        <v>0</v>
      </c>
      <c r="J147" s="170">
        <v>0</v>
      </c>
      <c r="K147" s="242">
        <f t="shared" ref="K147:K168" si="13">J147*E147</f>
        <v>0</v>
      </c>
      <c r="L147" s="170">
        <v>0</v>
      </c>
      <c r="M147" s="242">
        <f t="shared" ref="M147:M168" si="14">L147*E147</f>
        <v>0</v>
      </c>
      <c r="N147" s="170">
        <v>0</v>
      </c>
      <c r="O147" s="242">
        <f t="shared" ref="O147:O168" si="15">N147*E147</f>
        <v>0</v>
      </c>
      <c r="P147" s="170">
        <v>0</v>
      </c>
      <c r="Q147" s="246">
        <f t="shared" ref="Q147:Q168" si="16">P147*E147</f>
        <v>0</v>
      </c>
      <c r="R147" s="252">
        <f t="shared" ref="R147:R168" si="17">SUM(F147+H147+J147+L147+N147+P147)</f>
        <v>0</v>
      </c>
      <c r="S147" s="254">
        <f t="shared" si="10"/>
        <v>0</v>
      </c>
    </row>
    <row r="148" spans="1:19" hidden="1" outlineLevel="3" x14ac:dyDescent="0.35">
      <c r="A148" s="165" t="s">
        <v>248</v>
      </c>
      <c r="B148" s="168" t="s">
        <v>187</v>
      </c>
      <c r="C148" s="168" t="s">
        <v>249</v>
      </c>
      <c r="D148" s="169" t="s">
        <v>189</v>
      </c>
      <c r="E148" s="242">
        <f>VLOOKUP(C148,Lists!$Q$5:$U$43, MATCH(D148,Lists!$Q$4:$U$4,0),0)</f>
        <v>1850</v>
      </c>
      <c r="F148" s="170">
        <v>0</v>
      </c>
      <c r="G148" s="243">
        <f t="shared" si="11"/>
        <v>0</v>
      </c>
      <c r="H148" s="170">
        <v>0</v>
      </c>
      <c r="I148" s="242">
        <f t="shared" si="12"/>
        <v>0</v>
      </c>
      <c r="J148" s="170">
        <v>0</v>
      </c>
      <c r="K148" s="242">
        <f t="shared" si="13"/>
        <v>0</v>
      </c>
      <c r="L148" s="170">
        <v>0</v>
      </c>
      <c r="M148" s="242">
        <f t="shared" si="14"/>
        <v>0</v>
      </c>
      <c r="N148" s="170">
        <v>0</v>
      </c>
      <c r="O148" s="242">
        <f t="shared" si="15"/>
        <v>0</v>
      </c>
      <c r="P148" s="170">
        <v>0</v>
      </c>
      <c r="Q148" s="246">
        <f t="shared" si="16"/>
        <v>0</v>
      </c>
      <c r="R148" s="252">
        <f t="shared" si="17"/>
        <v>0</v>
      </c>
      <c r="S148" s="254">
        <f t="shared" si="10"/>
        <v>0</v>
      </c>
    </row>
    <row r="149" spans="1:19" hidden="1" outlineLevel="3" x14ac:dyDescent="0.35">
      <c r="A149" s="165"/>
      <c r="B149" s="168" t="s">
        <v>200</v>
      </c>
      <c r="C149" s="168" t="s">
        <v>250</v>
      </c>
      <c r="D149" s="169" t="s">
        <v>172</v>
      </c>
      <c r="E149" s="242">
        <f>VLOOKUP(C149,Lists!$Q$5:$U$43, MATCH(D149,Lists!$Q$4:$U$4,0),0)</f>
        <v>1800</v>
      </c>
      <c r="F149" s="170">
        <v>0</v>
      </c>
      <c r="G149" s="243">
        <f t="shared" si="11"/>
        <v>0</v>
      </c>
      <c r="H149" s="170">
        <v>0</v>
      </c>
      <c r="I149" s="242">
        <f t="shared" si="12"/>
        <v>0</v>
      </c>
      <c r="J149" s="170">
        <v>0</v>
      </c>
      <c r="K149" s="242">
        <f t="shared" si="13"/>
        <v>0</v>
      </c>
      <c r="L149" s="170">
        <v>0</v>
      </c>
      <c r="M149" s="242">
        <f t="shared" si="14"/>
        <v>0</v>
      </c>
      <c r="N149" s="170">
        <v>0</v>
      </c>
      <c r="O149" s="242">
        <f t="shared" si="15"/>
        <v>0</v>
      </c>
      <c r="P149" s="170">
        <v>0</v>
      </c>
      <c r="Q149" s="246">
        <f t="shared" si="16"/>
        <v>0</v>
      </c>
      <c r="R149" s="252">
        <f t="shared" si="17"/>
        <v>0</v>
      </c>
      <c r="S149" s="254">
        <f t="shared" si="10"/>
        <v>0</v>
      </c>
    </row>
    <row r="150" spans="1:19" hidden="1" outlineLevel="3" x14ac:dyDescent="0.35">
      <c r="A150" s="165" t="s">
        <v>251</v>
      </c>
      <c r="B150" s="168" t="s">
        <v>200</v>
      </c>
      <c r="C150" s="168" t="s">
        <v>252</v>
      </c>
      <c r="D150" s="169" t="s">
        <v>189</v>
      </c>
      <c r="E150" s="242">
        <f>VLOOKUP(C150,Lists!$Q$5:$U$43, MATCH(D150,Lists!$Q$4:$U$4,0),0)</f>
        <v>1400</v>
      </c>
      <c r="F150" s="170">
        <v>0</v>
      </c>
      <c r="G150" s="243">
        <f t="shared" si="11"/>
        <v>0</v>
      </c>
      <c r="H150" s="170">
        <v>0</v>
      </c>
      <c r="I150" s="242">
        <f t="shared" si="12"/>
        <v>0</v>
      </c>
      <c r="J150" s="170">
        <v>0</v>
      </c>
      <c r="K150" s="242">
        <f t="shared" si="13"/>
        <v>0</v>
      </c>
      <c r="L150" s="170">
        <v>0</v>
      </c>
      <c r="M150" s="242">
        <f t="shared" si="14"/>
        <v>0</v>
      </c>
      <c r="N150" s="170">
        <v>0</v>
      </c>
      <c r="O150" s="242">
        <f t="shared" si="15"/>
        <v>0</v>
      </c>
      <c r="P150" s="170">
        <v>0</v>
      </c>
      <c r="Q150" s="246">
        <f t="shared" si="16"/>
        <v>0</v>
      </c>
      <c r="R150" s="252">
        <f t="shared" si="17"/>
        <v>0</v>
      </c>
      <c r="S150" s="254">
        <f t="shared" si="10"/>
        <v>0</v>
      </c>
    </row>
    <row r="151" spans="1:19" hidden="1" outlineLevel="3" x14ac:dyDescent="0.35">
      <c r="A151" s="165"/>
      <c r="B151" s="168" t="s">
        <v>187</v>
      </c>
      <c r="C151" s="168" t="s">
        <v>185</v>
      </c>
      <c r="D151" s="169" t="s">
        <v>180</v>
      </c>
      <c r="E151" s="242">
        <f>VLOOKUP(C151,Lists!$Q$5:$U$43, MATCH(D151,Lists!$Q$4:$U$4,0),0)</f>
        <v>615</v>
      </c>
      <c r="F151" s="170">
        <v>0</v>
      </c>
      <c r="G151" s="243">
        <f t="shared" si="11"/>
        <v>0</v>
      </c>
      <c r="H151" s="170">
        <v>0</v>
      </c>
      <c r="I151" s="242">
        <f t="shared" si="12"/>
        <v>0</v>
      </c>
      <c r="J151" s="170">
        <v>0</v>
      </c>
      <c r="K151" s="242">
        <f t="shared" si="13"/>
        <v>0</v>
      </c>
      <c r="L151" s="170">
        <v>0</v>
      </c>
      <c r="M151" s="242">
        <f t="shared" si="14"/>
        <v>0</v>
      </c>
      <c r="N151" s="170">
        <v>0</v>
      </c>
      <c r="O151" s="242">
        <f t="shared" si="15"/>
        <v>0</v>
      </c>
      <c r="P151" s="170">
        <v>0</v>
      </c>
      <c r="Q151" s="246">
        <f t="shared" si="16"/>
        <v>0</v>
      </c>
      <c r="R151" s="252">
        <f t="shared" si="17"/>
        <v>0</v>
      </c>
      <c r="S151" s="254">
        <f t="shared" si="10"/>
        <v>0</v>
      </c>
    </row>
    <row r="152" spans="1:19" hidden="1" outlineLevel="3" x14ac:dyDescent="0.35">
      <c r="A152" s="165" t="s">
        <v>253</v>
      </c>
      <c r="B152" s="168" t="s">
        <v>170</v>
      </c>
      <c r="C152" s="168" t="s">
        <v>171</v>
      </c>
      <c r="D152" s="169" t="s">
        <v>180</v>
      </c>
      <c r="E152" s="242">
        <f>VLOOKUP(C152,Lists!$Q$5:$U$43, MATCH(D152,Lists!$Q$4:$U$4,0),0)</f>
        <v>615</v>
      </c>
      <c r="F152" s="170">
        <v>0</v>
      </c>
      <c r="G152" s="243">
        <f t="shared" si="11"/>
        <v>0</v>
      </c>
      <c r="H152" s="170">
        <v>0</v>
      </c>
      <c r="I152" s="242">
        <f t="shared" si="12"/>
        <v>0</v>
      </c>
      <c r="J152" s="170">
        <v>0</v>
      </c>
      <c r="K152" s="242">
        <f t="shared" si="13"/>
        <v>0</v>
      </c>
      <c r="L152" s="170">
        <v>0</v>
      </c>
      <c r="M152" s="242">
        <f t="shared" si="14"/>
        <v>0</v>
      </c>
      <c r="N152" s="170">
        <v>0</v>
      </c>
      <c r="O152" s="242">
        <f t="shared" si="15"/>
        <v>0</v>
      </c>
      <c r="P152" s="170">
        <v>0</v>
      </c>
      <c r="Q152" s="246">
        <f t="shared" si="16"/>
        <v>0</v>
      </c>
      <c r="R152" s="252">
        <f t="shared" si="17"/>
        <v>0</v>
      </c>
      <c r="S152" s="254">
        <f t="shared" si="10"/>
        <v>0</v>
      </c>
    </row>
    <row r="153" spans="1:19" hidden="1" outlineLevel="3" x14ac:dyDescent="0.35">
      <c r="A153" s="165"/>
      <c r="B153" s="168" t="s">
        <v>187</v>
      </c>
      <c r="C153" s="168" t="s">
        <v>185</v>
      </c>
      <c r="D153" s="169" t="s">
        <v>180</v>
      </c>
      <c r="E153" s="242">
        <f>VLOOKUP(C153,Lists!$Q$5:$U$43, MATCH(D153,Lists!$Q$4:$U$4,0),0)</f>
        <v>615</v>
      </c>
      <c r="F153" s="170">
        <v>1</v>
      </c>
      <c r="G153" s="243">
        <f t="shared" si="11"/>
        <v>615</v>
      </c>
      <c r="H153" s="170">
        <v>0</v>
      </c>
      <c r="I153" s="242">
        <f t="shared" si="12"/>
        <v>0</v>
      </c>
      <c r="J153" s="170">
        <v>0</v>
      </c>
      <c r="K153" s="242">
        <f t="shared" si="13"/>
        <v>0</v>
      </c>
      <c r="L153" s="170">
        <v>0</v>
      </c>
      <c r="M153" s="242">
        <f t="shared" si="14"/>
        <v>0</v>
      </c>
      <c r="N153" s="170">
        <v>0</v>
      </c>
      <c r="O153" s="242">
        <f t="shared" si="15"/>
        <v>0</v>
      </c>
      <c r="P153" s="170">
        <v>0</v>
      </c>
      <c r="Q153" s="246">
        <f t="shared" si="16"/>
        <v>0</v>
      </c>
      <c r="R153" s="252">
        <f t="shared" si="17"/>
        <v>1</v>
      </c>
      <c r="S153" s="254">
        <f t="shared" si="10"/>
        <v>615</v>
      </c>
    </row>
    <row r="154" spans="1:19" hidden="1" outlineLevel="3" x14ac:dyDescent="0.35">
      <c r="A154" s="165"/>
      <c r="B154" s="168" t="s">
        <v>187</v>
      </c>
      <c r="C154" s="168" t="s">
        <v>185</v>
      </c>
      <c r="D154" s="169" t="s">
        <v>180</v>
      </c>
      <c r="E154" s="242">
        <f>VLOOKUP(C154,Lists!$Q$5:$U$43, MATCH(D154,Lists!$Q$4:$U$4,0),0)</f>
        <v>615</v>
      </c>
      <c r="F154" s="170">
        <v>0</v>
      </c>
      <c r="G154" s="243">
        <f t="shared" si="11"/>
        <v>0</v>
      </c>
      <c r="H154" s="170">
        <v>0</v>
      </c>
      <c r="I154" s="242">
        <f t="shared" si="12"/>
        <v>0</v>
      </c>
      <c r="J154" s="170">
        <v>0</v>
      </c>
      <c r="K154" s="242">
        <f t="shared" si="13"/>
        <v>0</v>
      </c>
      <c r="L154" s="170">
        <v>0</v>
      </c>
      <c r="M154" s="242">
        <f t="shared" si="14"/>
        <v>0</v>
      </c>
      <c r="N154" s="170">
        <v>0</v>
      </c>
      <c r="O154" s="242">
        <f t="shared" si="15"/>
        <v>0</v>
      </c>
      <c r="P154" s="170">
        <v>0</v>
      </c>
      <c r="Q154" s="246">
        <f t="shared" si="16"/>
        <v>0</v>
      </c>
      <c r="R154" s="252">
        <f t="shared" si="17"/>
        <v>0</v>
      </c>
      <c r="S154" s="254">
        <f t="shared" si="10"/>
        <v>0</v>
      </c>
    </row>
    <row r="155" spans="1:19" hidden="1" outlineLevel="3" x14ac:dyDescent="0.35">
      <c r="A155" s="165"/>
      <c r="B155" s="168" t="s">
        <v>198</v>
      </c>
      <c r="C155" s="168" t="s">
        <v>199</v>
      </c>
      <c r="D155" s="169" t="s">
        <v>172</v>
      </c>
      <c r="E155" s="242">
        <f>VLOOKUP(C155,Lists!$Q$5:$U$43, MATCH(D155,Lists!$Q$4:$U$4,0),0)</f>
        <v>2400</v>
      </c>
      <c r="F155" s="170">
        <v>0</v>
      </c>
      <c r="G155" s="243">
        <f t="shared" si="11"/>
        <v>0</v>
      </c>
      <c r="H155" s="170">
        <v>0</v>
      </c>
      <c r="I155" s="242">
        <f t="shared" si="12"/>
        <v>0</v>
      </c>
      <c r="J155" s="170">
        <v>0</v>
      </c>
      <c r="K155" s="242">
        <f t="shared" si="13"/>
        <v>0</v>
      </c>
      <c r="L155" s="170">
        <v>0</v>
      </c>
      <c r="M155" s="242">
        <f t="shared" si="14"/>
        <v>0</v>
      </c>
      <c r="N155" s="170">
        <v>0</v>
      </c>
      <c r="O155" s="242">
        <f t="shared" si="15"/>
        <v>0</v>
      </c>
      <c r="P155" s="170">
        <v>0</v>
      </c>
      <c r="Q155" s="246">
        <f t="shared" si="16"/>
        <v>0</v>
      </c>
      <c r="R155" s="252">
        <f t="shared" si="17"/>
        <v>0</v>
      </c>
      <c r="S155" s="254">
        <f t="shared" si="10"/>
        <v>0</v>
      </c>
    </row>
    <row r="156" spans="1:19" hidden="1" outlineLevel="3" x14ac:dyDescent="0.35">
      <c r="A156" s="165"/>
      <c r="B156" s="168" t="s">
        <v>187</v>
      </c>
      <c r="C156" s="168" t="s">
        <v>185</v>
      </c>
      <c r="D156" s="169" t="s">
        <v>254</v>
      </c>
      <c r="E156" s="242">
        <f>VLOOKUP(C156,Lists!$Q$5:$U$43, MATCH(D156,Lists!$Q$4:$U$4,0),0)</f>
        <v>1300</v>
      </c>
      <c r="F156" s="170">
        <v>0</v>
      </c>
      <c r="G156" s="243">
        <f t="shared" si="11"/>
        <v>0</v>
      </c>
      <c r="H156" s="170">
        <v>0</v>
      </c>
      <c r="I156" s="242">
        <f t="shared" si="12"/>
        <v>0</v>
      </c>
      <c r="J156" s="170">
        <v>0</v>
      </c>
      <c r="K156" s="242">
        <f t="shared" si="13"/>
        <v>0</v>
      </c>
      <c r="L156" s="170">
        <v>0</v>
      </c>
      <c r="M156" s="242">
        <f t="shared" si="14"/>
        <v>0</v>
      </c>
      <c r="N156" s="170">
        <v>0</v>
      </c>
      <c r="O156" s="242">
        <f t="shared" si="15"/>
        <v>0</v>
      </c>
      <c r="P156" s="170">
        <v>0</v>
      </c>
      <c r="Q156" s="246">
        <f t="shared" si="16"/>
        <v>0</v>
      </c>
      <c r="R156" s="252">
        <f t="shared" si="17"/>
        <v>0</v>
      </c>
      <c r="S156" s="254">
        <f t="shared" si="10"/>
        <v>0</v>
      </c>
    </row>
    <row r="157" spans="1:19" hidden="1" outlineLevel="3" x14ac:dyDescent="0.35">
      <c r="A157" s="165"/>
      <c r="B157" s="168" t="s">
        <v>187</v>
      </c>
      <c r="C157" s="168" t="s">
        <v>185</v>
      </c>
      <c r="D157" s="169" t="s">
        <v>180</v>
      </c>
      <c r="E157" s="242">
        <f>VLOOKUP(C157,Lists!$Q$5:$U$43, MATCH(D157,Lists!$Q$4:$U$4,0),0)</f>
        <v>615</v>
      </c>
      <c r="F157" s="170">
        <v>0</v>
      </c>
      <c r="G157" s="243">
        <f t="shared" si="11"/>
        <v>0</v>
      </c>
      <c r="H157" s="170">
        <v>0</v>
      </c>
      <c r="I157" s="242">
        <f t="shared" si="12"/>
        <v>0</v>
      </c>
      <c r="J157" s="170">
        <v>0</v>
      </c>
      <c r="K157" s="242">
        <f t="shared" si="13"/>
        <v>0</v>
      </c>
      <c r="L157" s="170">
        <v>0</v>
      </c>
      <c r="M157" s="242">
        <f t="shared" si="14"/>
        <v>0</v>
      </c>
      <c r="N157" s="170">
        <v>0</v>
      </c>
      <c r="O157" s="242">
        <f t="shared" si="15"/>
        <v>0</v>
      </c>
      <c r="P157" s="170">
        <v>0</v>
      </c>
      <c r="Q157" s="246">
        <f t="shared" si="16"/>
        <v>0</v>
      </c>
      <c r="R157" s="252">
        <f t="shared" si="17"/>
        <v>0</v>
      </c>
      <c r="S157" s="254">
        <f t="shared" si="10"/>
        <v>0</v>
      </c>
    </row>
    <row r="158" spans="1:19" hidden="1" outlineLevel="3" x14ac:dyDescent="0.35">
      <c r="A158" s="165"/>
      <c r="B158" s="168" t="s">
        <v>187</v>
      </c>
      <c r="C158" s="168" t="s">
        <v>185</v>
      </c>
      <c r="D158" s="169" t="s">
        <v>180</v>
      </c>
      <c r="E158" s="242">
        <f>VLOOKUP(C158,Lists!$Q$5:$U$43, MATCH(D158,Lists!$Q$4:$U$4,0),0)</f>
        <v>615</v>
      </c>
      <c r="F158" s="170">
        <v>0</v>
      </c>
      <c r="G158" s="243">
        <f t="shared" si="11"/>
        <v>0</v>
      </c>
      <c r="H158" s="170">
        <v>0</v>
      </c>
      <c r="I158" s="242">
        <f t="shared" si="12"/>
        <v>0</v>
      </c>
      <c r="J158" s="170">
        <v>0</v>
      </c>
      <c r="K158" s="242">
        <f t="shared" si="13"/>
        <v>0</v>
      </c>
      <c r="L158" s="170">
        <v>0</v>
      </c>
      <c r="M158" s="242">
        <f t="shared" si="14"/>
        <v>0</v>
      </c>
      <c r="N158" s="170">
        <v>0</v>
      </c>
      <c r="O158" s="242">
        <f t="shared" si="15"/>
        <v>0</v>
      </c>
      <c r="P158" s="170">
        <v>0</v>
      </c>
      <c r="Q158" s="246">
        <f t="shared" si="16"/>
        <v>0</v>
      </c>
      <c r="R158" s="252">
        <f t="shared" si="17"/>
        <v>0</v>
      </c>
      <c r="S158" s="254">
        <f t="shared" si="10"/>
        <v>0</v>
      </c>
    </row>
    <row r="159" spans="1:19" hidden="1" outlineLevel="3" x14ac:dyDescent="0.35">
      <c r="A159" s="165"/>
      <c r="B159" s="168" t="s">
        <v>187</v>
      </c>
      <c r="C159" s="168" t="s">
        <v>185</v>
      </c>
      <c r="D159" s="169" t="s">
        <v>180</v>
      </c>
      <c r="E159" s="242">
        <f>VLOOKUP(C159,Lists!$Q$5:$U$43, MATCH(D159,Lists!$Q$4:$U$4,0),0)</f>
        <v>615</v>
      </c>
      <c r="F159" s="170">
        <v>0</v>
      </c>
      <c r="G159" s="243">
        <f t="shared" si="11"/>
        <v>0</v>
      </c>
      <c r="H159" s="170">
        <v>0</v>
      </c>
      <c r="I159" s="242">
        <f t="shared" si="12"/>
        <v>0</v>
      </c>
      <c r="J159" s="170">
        <v>0</v>
      </c>
      <c r="K159" s="242">
        <f t="shared" si="13"/>
        <v>0</v>
      </c>
      <c r="L159" s="170">
        <v>0</v>
      </c>
      <c r="M159" s="242">
        <f t="shared" si="14"/>
        <v>0</v>
      </c>
      <c r="N159" s="170">
        <v>0</v>
      </c>
      <c r="O159" s="242">
        <f t="shared" si="15"/>
        <v>0</v>
      </c>
      <c r="P159" s="170">
        <v>0</v>
      </c>
      <c r="Q159" s="246">
        <f t="shared" si="16"/>
        <v>0</v>
      </c>
      <c r="R159" s="252">
        <f t="shared" si="17"/>
        <v>0</v>
      </c>
      <c r="S159" s="254">
        <f t="shared" si="10"/>
        <v>0</v>
      </c>
    </row>
    <row r="160" spans="1:19" hidden="1" outlineLevel="3" x14ac:dyDescent="0.35">
      <c r="A160" s="165"/>
      <c r="B160" s="168" t="s">
        <v>170</v>
      </c>
      <c r="C160" s="168" t="s">
        <v>255</v>
      </c>
      <c r="D160" s="169" t="s">
        <v>172</v>
      </c>
      <c r="E160" s="242">
        <f>VLOOKUP(C160,Lists!$Q$5:$U$43, MATCH(D160,Lists!$Q$4:$U$4,0),0)</f>
        <v>1800</v>
      </c>
      <c r="F160" s="170">
        <v>0</v>
      </c>
      <c r="G160" s="243">
        <f t="shared" si="11"/>
        <v>0</v>
      </c>
      <c r="H160" s="170">
        <v>0</v>
      </c>
      <c r="I160" s="242">
        <f t="shared" si="12"/>
        <v>0</v>
      </c>
      <c r="J160" s="170">
        <v>0</v>
      </c>
      <c r="K160" s="242">
        <f t="shared" si="13"/>
        <v>0</v>
      </c>
      <c r="L160" s="170">
        <v>0</v>
      </c>
      <c r="M160" s="242">
        <f t="shared" si="14"/>
        <v>0</v>
      </c>
      <c r="N160" s="170">
        <v>0</v>
      </c>
      <c r="O160" s="242">
        <f t="shared" si="15"/>
        <v>0</v>
      </c>
      <c r="P160" s="170">
        <v>0</v>
      </c>
      <c r="Q160" s="246">
        <f t="shared" si="16"/>
        <v>0</v>
      </c>
      <c r="R160" s="252">
        <f t="shared" si="17"/>
        <v>0</v>
      </c>
      <c r="S160" s="254">
        <f t="shared" si="10"/>
        <v>0</v>
      </c>
    </row>
    <row r="161" spans="1:19" hidden="1" outlineLevel="3" x14ac:dyDescent="0.35">
      <c r="A161" s="165"/>
      <c r="B161" s="168" t="s">
        <v>198</v>
      </c>
      <c r="C161" s="168" t="s">
        <v>199</v>
      </c>
      <c r="D161" s="169" t="s">
        <v>172</v>
      </c>
      <c r="E161" s="242">
        <f>VLOOKUP(C161,Lists!$Q$5:$U$43, MATCH(D161,Lists!$Q$4:$U$4,0),0)</f>
        <v>2400</v>
      </c>
      <c r="F161" s="170">
        <v>0</v>
      </c>
      <c r="G161" s="243">
        <f t="shared" si="11"/>
        <v>0</v>
      </c>
      <c r="H161" s="170">
        <v>0</v>
      </c>
      <c r="I161" s="242">
        <f t="shared" si="12"/>
        <v>0</v>
      </c>
      <c r="J161" s="170">
        <v>0</v>
      </c>
      <c r="K161" s="242">
        <f t="shared" si="13"/>
        <v>0</v>
      </c>
      <c r="L161" s="170">
        <v>0</v>
      </c>
      <c r="M161" s="242">
        <f t="shared" si="14"/>
        <v>0</v>
      </c>
      <c r="N161" s="170">
        <v>0</v>
      </c>
      <c r="O161" s="242">
        <f t="shared" si="15"/>
        <v>0</v>
      </c>
      <c r="P161" s="170">
        <v>0</v>
      </c>
      <c r="Q161" s="246">
        <f t="shared" si="16"/>
        <v>0</v>
      </c>
      <c r="R161" s="252">
        <f t="shared" si="17"/>
        <v>0</v>
      </c>
      <c r="S161" s="254">
        <f t="shared" si="10"/>
        <v>0</v>
      </c>
    </row>
    <row r="162" spans="1:19" hidden="1" outlineLevel="3" x14ac:dyDescent="0.35">
      <c r="A162" s="165"/>
      <c r="B162" s="168" t="s">
        <v>196</v>
      </c>
      <c r="C162" s="168" t="s">
        <v>197</v>
      </c>
      <c r="D162" s="169" t="s">
        <v>172</v>
      </c>
      <c r="E162" s="242">
        <f>VLOOKUP(C162,Lists!$Q$5:$U$43, MATCH(D162,Lists!$Q$4:$U$4,0),0)</f>
        <v>1986</v>
      </c>
      <c r="F162" s="170">
        <v>0</v>
      </c>
      <c r="G162" s="243">
        <f t="shared" si="11"/>
        <v>0</v>
      </c>
      <c r="H162" s="170">
        <v>0</v>
      </c>
      <c r="I162" s="242">
        <f t="shared" si="12"/>
        <v>0</v>
      </c>
      <c r="J162" s="170">
        <v>0</v>
      </c>
      <c r="K162" s="242">
        <f t="shared" si="13"/>
        <v>0</v>
      </c>
      <c r="L162" s="170">
        <v>0</v>
      </c>
      <c r="M162" s="242">
        <f t="shared" si="14"/>
        <v>0</v>
      </c>
      <c r="N162" s="170">
        <v>0</v>
      </c>
      <c r="O162" s="242">
        <f t="shared" si="15"/>
        <v>0</v>
      </c>
      <c r="P162" s="170">
        <v>0</v>
      </c>
      <c r="Q162" s="246">
        <f t="shared" si="16"/>
        <v>0</v>
      </c>
      <c r="R162" s="252">
        <f t="shared" si="17"/>
        <v>0</v>
      </c>
      <c r="S162" s="254">
        <f t="shared" si="10"/>
        <v>0</v>
      </c>
    </row>
    <row r="163" spans="1:19" hidden="1" outlineLevel="3" x14ac:dyDescent="0.35">
      <c r="A163" s="165"/>
      <c r="B163" s="168" t="s">
        <v>196</v>
      </c>
      <c r="C163" s="168" t="s">
        <v>197</v>
      </c>
      <c r="D163" s="169" t="s">
        <v>172</v>
      </c>
      <c r="E163" s="242">
        <f>VLOOKUP(C163,Lists!$Q$5:$U$43, MATCH(D163,Lists!$Q$4:$U$4,0),0)</f>
        <v>1986</v>
      </c>
      <c r="F163" s="170">
        <v>0</v>
      </c>
      <c r="G163" s="243">
        <f t="shared" si="11"/>
        <v>0</v>
      </c>
      <c r="H163" s="170">
        <v>0</v>
      </c>
      <c r="I163" s="242">
        <f t="shared" si="12"/>
        <v>0</v>
      </c>
      <c r="J163" s="170">
        <v>0</v>
      </c>
      <c r="K163" s="242">
        <f t="shared" si="13"/>
        <v>0</v>
      </c>
      <c r="L163" s="170">
        <v>0</v>
      </c>
      <c r="M163" s="242">
        <f t="shared" si="14"/>
        <v>0</v>
      </c>
      <c r="N163" s="170">
        <v>0</v>
      </c>
      <c r="O163" s="242">
        <f t="shared" si="15"/>
        <v>0</v>
      </c>
      <c r="P163" s="170">
        <v>0</v>
      </c>
      <c r="Q163" s="246">
        <f t="shared" si="16"/>
        <v>0</v>
      </c>
      <c r="R163" s="252">
        <f t="shared" si="17"/>
        <v>0</v>
      </c>
      <c r="S163" s="254">
        <f t="shared" si="10"/>
        <v>0</v>
      </c>
    </row>
    <row r="164" spans="1:19" hidden="1" outlineLevel="3" x14ac:dyDescent="0.35">
      <c r="A164" s="165"/>
      <c r="B164" s="168" t="s">
        <v>196</v>
      </c>
      <c r="C164" s="168" t="s">
        <v>197</v>
      </c>
      <c r="D164" s="169" t="s">
        <v>172</v>
      </c>
      <c r="E164" s="242">
        <f>VLOOKUP(C164,Lists!$Q$5:$U$43, MATCH(D164,Lists!$Q$4:$U$4,0),0)</f>
        <v>1986</v>
      </c>
      <c r="F164" s="170">
        <v>0</v>
      </c>
      <c r="G164" s="244">
        <f t="shared" si="11"/>
        <v>0</v>
      </c>
      <c r="H164" s="170">
        <v>0</v>
      </c>
      <c r="I164" s="242">
        <f t="shared" si="12"/>
        <v>0</v>
      </c>
      <c r="J164" s="170">
        <v>0</v>
      </c>
      <c r="K164" s="242">
        <f t="shared" si="13"/>
        <v>0</v>
      </c>
      <c r="L164" s="170">
        <v>0</v>
      </c>
      <c r="M164" s="242">
        <f t="shared" si="14"/>
        <v>0</v>
      </c>
      <c r="N164" s="170">
        <v>0</v>
      </c>
      <c r="O164" s="242">
        <f t="shared" si="15"/>
        <v>0</v>
      </c>
      <c r="P164" s="170">
        <v>0</v>
      </c>
      <c r="Q164" s="246">
        <f t="shared" si="16"/>
        <v>0</v>
      </c>
      <c r="R164" s="252">
        <f t="shared" si="17"/>
        <v>0</v>
      </c>
      <c r="S164" s="254">
        <f t="shared" si="10"/>
        <v>0</v>
      </c>
    </row>
    <row r="165" spans="1:19" hidden="1" outlineLevel="3" x14ac:dyDescent="0.35">
      <c r="A165" s="165"/>
      <c r="B165" s="168" t="s">
        <v>196</v>
      </c>
      <c r="C165" s="168" t="s">
        <v>197</v>
      </c>
      <c r="D165" s="169" t="s">
        <v>172</v>
      </c>
      <c r="E165" s="242">
        <f>VLOOKUP(C165,Lists!$Q$5:$U$43, MATCH(D165,Lists!$Q$4:$U$4,0),0)</f>
        <v>1986</v>
      </c>
      <c r="F165" s="170">
        <v>0</v>
      </c>
      <c r="G165" s="245">
        <f t="shared" si="11"/>
        <v>0</v>
      </c>
      <c r="H165" s="170">
        <v>0</v>
      </c>
      <c r="I165" s="242">
        <f t="shared" si="12"/>
        <v>0</v>
      </c>
      <c r="J165" s="170">
        <v>0</v>
      </c>
      <c r="K165" s="242">
        <f t="shared" si="13"/>
        <v>0</v>
      </c>
      <c r="L165" s="170">
        <v>0</v>
      </c>
      <c r="M165" s="242">
        <f t="shared" si="14"/>
        <v>0</v>
      </c>
      <c r="N165" s="170">
        <v>0</v>
      </c>
      <c r="O165" s="242">
        <f t="shared" si="15"/>
        <v>0</v>
      </c>
      <c r="P165" s="170">
        <v>0</v>
      </c>
      <c r="Q165" s="246">
        <f t="shared" si="16"/>
        <v>0</v>
      </c>
      <c r="R165" s="252">
        <f t="shared" si="17"/>
        <v>0</v>
      </c>
      <c r="S165" s="254">
        <f t="shared" si="10"/>
        <v>0</v>
      </c>
    </row>
    <row r="166" spans="1:19" hidden="1" outlineLevel="3" x14ac:dyDescent="0.35">
      <c r="A166" s="165"/>
      <c r="B166" s="168" t="s">
        <v>196</v>
      </c>
      <c r="C166" s="168" t="s">
        <v>197</v>
      </c>
      <c r="D166" s="169" t="s">
        <v>172</v>
      </c>
      <c r="E166" s="242">
        <f>VLOOKUP(C166,Lists!$Q$5:$U$43, MATCH(D166,Lists!$Q$4:$U$4,0),0)</f>
        <v>1986</v>
      </c>
      <c r="F166" s="170">
        <v>0</v>
      </c>
      <c r="G166" s="245">
        <f t="shared" si="11"/>
        <v>0</v>
      </c>
      <c r="H166" s="170">
        <v>0</v>
      </c>
      <c r="I166" s="242">
        <f t="shared" si="12"/>
        <v>0</v>
      </c>
      <c r="J166" s="170">
        <v>0</v>
      </c>
      <c r="K166" s="242">
        <f t="shared" si="13"/>
        <v>0</v>
      </c>
      <c r="L166" s="170">
        <v>0</v>
      </c>
      <c r="M166" s="242">
        <f t="shared" si="14"/>
        <v>0</v>
      </c>
      <c r="N166" s="170">
        <v>0</v>
      </c>
      <c r="O166" s="242">
        <f t="shared" si="15"/>
        <v>0</v>
      </c>
      <c r="P166" s="170">
        <v>0</v>
      </c>
      <c r="Q166" s="246">
        <f t="shared" si="16"/>
        <v>0</v>
      </c>
      <c r="R166" s="252">
        <f t="shared" si="17"/>
        <v>0</v>
      </c>
      <c r="S166" s="254">
        <f t="shared" si="10"/>
        <v>0</v>
      </c>
    </row>
    <row r="167" spans="1:19" hidden="1" outlineLevel="3" x14ac:dyDescent="0.35">
      <c r="A167" s="165"/>
      <c r="B167" s="168" t="s">
        <v>196</v>
      </c>
      <c r="C167" s="168" t="s">
        <v>197</v>
      </c>
      <c r="D167" s="169" t="s">
        <v>172</v>
      </c>
      <c r="E167" s="242">
        <f>VLOOKUP(C167,Lists!$Q$5:$U$43, MATCH(D167,Lists!$Q$4:$U$4,0),0)</f>
        <v>1986</v>
      </c>
      <c r="F167" s="170">
        <v>0</v>
      </c>
      <c r="G167" s="245">
        <f t="shared" si="11"/>
        <v>0</v>
      </c>
      <c r="H167" s="170">
        <v>0</v>
      </c>
      <c r="I167" s="242">
        <f t="shared" si="12"/>
        <v>0</v>
      </c>
      <c r="J167" s="170">
        <v>0</v>
      </c>
      <c r="K167" s="242">
        <f t="shared" si="13"/>
        <v>0</v>
      </c>
      <c r="L167" s="170">
        <v>0</v>
      </c>
      <c r="M167" s="242">
        <f t="shared" si="14"/>
        <v>0</v>
      </c>
      <c r="N167" s="170">
        <v>0</v>
      </c>
      <c r="O167" s="242">
        <f t="shared" si="15"/>
        <v>0</v>
      </c>
      <c r="P167" s="170">
        <v>0</v>
      </c>
      <c r="Q167" s="246">
        <f t="shared" si="16"/>
        <v>0</v>
      </c>
      <c r="R167" s="252">
        <f t="shared" si="17"/>
        <v>0</v>
      </c>
      <c r="S167" s="254">
        <f t="shared" si="10"/>
        <v>0</v>
      </c>
    </row>
    <row r="168" spans="1:19" hidden="1" outlineLevel="3" x14ac:dyDescent="0.35">
      <c r="A168" s="166"/>
      <c r="B168" s="168" t="s">
        <v>196</v>
      </c>
      <c r="C168" s="168" t="s">
        <v>197</v>
      </c>
      <c r="D168" s="169" t="s">
        <v>172</v>
      </c>
      <c r="E168" s="242">
        <f>VLOOKUP(C168,Lists!$Q$5:$U$43, MATCH(D168,Lists!$Q$4:$U$4,0),0)</f>
        <v>1986</v>
      </c>
      <c r="F168" s="170">
        <v>0</v>
      </c>
      <c r="G168" s="245">
        <f t="shared" si="11"/>
        <v>0</v>
      </c>
      <c r="H168" s="170">
        <v>0</v>
      </c>
      <c r="I168" s="242">
        <f t="shared" si="12"/>
        <v>0</v>
      </c>
      <c r="J168" s="170">
        <v>0</v>
      </c>
      <c r="K168" s="242">
        <f t="shared" si="13"/>
        <v>0</v>
      </c>
      <c r="L168" s="170">
        <v>0</v>
      </c>
      <c r="M168" s="242">
        <f t="shared" si="14"/>
        <v>0</v>
      </c>
      <c r="N168" s="170">
        <v>0</v>
      </c>
      <c r="O168" s="242">
        <f t="shared" si="15"/>
        <v>0</v>
      </c>
      <c r="P168" s="170">
        <v>0</v>
      </c>
      <c r="Q168" s="246">
        <f t="shared" si="16"/>
        <v>0</v>
      </c>
      <c r="R168" s="252">
        <f t="shared" si="17"/>
        <v>0</v>
      </c>
      <c r="S168" s="254">
        <f t="shared" si="10"/>
        <v>0</v>
      </c>
    </row>
    <row r="169" spans="1:19" ht="16" hidden="1" outlineLevel="3" thickBot="1" x14ac:dyDescent="0.4">
      <c r="A169" s="417" t="s">
        <v>256</v>
      </c>
      <c r="B169" s="417"/>
      <c r="C169" s="417"/>
      <c r="D169" s="417"/>
      <c r="E169" s="418"/>
      <c r="F169" s="249"/>
      <c r="G169" s="250">
        <f>SUM(G146:G168)</f>
        <v>615</v>
      </c>
      <c r="H169" s="251"/>
      <c r="I169" s="250">
        <f>SUM(I146:I168)</f>
        <v>0</v>
      </c>
      <c r="J169" s="251"/>
      <c r="K169" s="250">
        <f>SUM(K146:K168)</f>
        <v>0</v>
      </c>
      <c r="L169" s="251"/>
      <c r="M169" s="250">
        <f>SUM(M146:M168)</f>
        <v>0</v>
      </c>
      <c r="N169" s="251"/>
      <c r="O169" s="250">
        <f>SUM(O146:O168)</f>
        <v>0</v>
      </c>
      <c r="P169" s="251"/>
      <c r="Q169" s="250">
        <f>SUM(Q146:Q168)</f>
        <v>0</v>
      </c>
      <c r="R169" s="255"/>
      <c r="S169" s="248">
        <f>SUM(S146:S168)</f>
        <v>615</v>
      </c>
    </row>
    <row r="170" spans="1:19" hidden="1" outlineLevel="2" x14ac:dyDescent="0.35">
      <c r="A170" s="55"/>
      <c r="B170" s="56"/>
      <c r="C170" s="56"/>
      <c r="D170" s="56"/>
      <c r="E170" s="57"/>
      <c r="F170" s="58"/>
      <c r="G170" s="57"/>
      <c r="H170" s="58"/>
      <c r="I170" s="56"/>
      <c r="J170" s="58"/>
      <c r="K170" s="56"/>
      <c r="L170" s="58"/>
      <c r="M170" s="56"/>
      <c r="N170" s="58"/>
      <c r="O170" s="56"/>
      <c r="P170" s="58"/>
      <c r="Q170" s="59"/>
      <c r="R170" s="56"/>
      <c r="S170" s="56"/>
    </row>
    <row r="171" spans="1:19" ht="18" hidden="1" customHeight="1" outlineLevel="2" collapsed="1" x14ac:dyDescent="0.45">
      <c r="A171" s="186" t="s">
        <v>257</v>
      </c>
      <c r="B171" s="187"/>
      <c r="C171" s="187"/>
      <c r="D171" s="187"/>
      <c r="E171" s="189">
        <f>S195</f>
        <v>670600</v>
      </c>
      <c r="F171" s="187"/>
      <c r="G171" s="187"/>
      <c r="H171" s="187"/>
      <c r="I171" s="187"/>
      <c r="J171" s="187"/>
      <c r="K171" s="187"/>
      <c r="L171" s="187"/>
      <c r="M171" s="187"/>
      <c r="N171" s="187"/>
      <c r="O171" s="187"/>
      <c r="P171" s="187"/>
      <c r="Q171" s="187"/>
      <c r="R171" s="187"/>
      <c r="S171" s="188"/>
    </row>
    <row r="172" spans="1:19" hidden="1" outlineLevel="3" x14ac:dyDescent="0.35">
      <c r="A172" s="165" t="s">
        <v>244</v>
      </c>
      <c r="B172" s="168" t="s">
        <v>196</v>
      </c>
      <c r="C172" s="168" t="s">
        <v>197</v>
      </c>
      <c r="D172" s="169" t="s">
        <v>180</v>
      </c>
      <c r="E172" s="242">
        <f>VLOOKUP(C172,Lists!$Q$5:$U$43, MATCH(D172,Lists!$Q$4:$U$4,0),0)</f>
        <v>615</v>
      </c>
      <c r="F172" s="170">
        <v>0</v>
      </c>
      <c r="G172" s="243">
        <f>F172*E172</f>
        <v>0</v>
      </c>
      <c r="H172" s="170">
        <v>20</v>
      </c>
      <c r="I172" s="242">
        <f>H172*E172</f>
        <v>12300</v>
      </c>
      <c r="J172" s="170">
        <v>10</v>
      </c>
      <c r="K172" s="242">
        <f>J172*E172</f>
        <v>6150</v>
      </c>
      <c r="L172" s="170">
        <v>10</v>
      </c>
      <c r="M172" s="242">
        <f>L172*E172</f>
        <v>6150</v>
      </c>
      <c r="N172" s="170">
        <v>10</v>
      </c>
      <c r="O172" s="242">
        <f>N172*E172</f>
        <v>6150</v>
      </c>
      <c r="P172" s="170">
        <v>10</v>
      </c>
      <c r="Q172" s="246">
        <f>P172*E172</f>
        <v>6150</v>
      </c>
      <c r="R172" s="252">
        <f>SUM(F172+H172+J172+L172+N172+P172)</f>
        <v>60</v>
      </c>
      <c r="S172" s="253">
        <f t="shared" ref="S172:S194" si="18">R172*E172</f>
        <v>36900</v>
      </c>
    </row>
    <row r="173" spans="1:19" hidden="1" outlineLevel="3" x14ac:dyDescent="0.35">
      <c r="A173" s="165" t="s">
        <v>245</v>
      </c>
      <c r="B173" s="168" t="s">
        <v>246</v>
      </c>
      <c r="C173" s="168" t="s">
        <v>247</v>
      </c>
      <c r="D173" s="169" t="s">
        <v>172</v>
      </c>
      <c r="E173" s="242">
        <f>VLOOKUP(C173,Lists!$Q$5:$U$43, MATCH(D173,Lists!$Q$4:$U$4,0),0)</f>
        <v>2000</v>
      </c>
      <c r="F173" s="170">
        <v>0</v>
      </c>
      <c r="G173" s="243">
        <f t="shared" ref="G173:G194" si="19">F173*E173</f>
        <v>0</v>
      </c>
      <c r="H173" s="170">
        <v>10</v>
      </c>
      <c r="I173" s="242">
        <f t="shared" ref="I173:I194" si="20">H173*E173</f>
        <v>20000</v>
      </c>
      <c r="J173" s="170">
        <v>10</v>
      </c>
      <c r="K173" s="242">
        <f t="shared" ref="K173:K194" si="21">J173*E173</f>
        <v>20000</v>
      </c>
      <c r="L173" s="170">
        <v>10</v>
      </c>
      <c r="M173" s="242">
        <f t="shared" ref="M173:M194" si="22">L173*E173</f>
        <v>20000</v>
      </c>
      <c r="N173" s="170">
        <v>10</v>
      </c>
      <c r="O173" s="242">
        <f t="shared" ref="O173:O194" si="23">N173*E173</f>
        <v>20000</v>
      </c>
      <c r="P173" s="170">
        <v>10</v>
      </c>
      <c r="Q173" s="246">
        <f t="shared" ref="Q173:Q194" si="24">P173*E173</f>
        <v>20000</v>
      </c>
      <c r="R173" s="252">
        <f t="shared" ref="R173:R194" si="25">SUM(F173+H173+J173+L173+N173+P173)</f>
        <v>50</v>
      </c>
      <c r="S173" s="254">
        <f t="shared" si="18"/>
        <v>100000</v>
      </c>
    </row>
    <row r="174" spans="1:19" hidden="1" outlineLevel="3" x14ac:dyDescent="0.35">
      <c r="A174" s="165" t="s">
        <v>248</v>
      </c>
      <c r="B174" s="168" t="s">
        <v>187</v>
      </c>
      <c r="C174" s="168" t="s">
        <v>249</v>
      </c>
      <c r="D174" s="169" t="s">
        <v>180</v>
      </c>
      <c r="E174" s="242">
        <f>VLOOKUP(C174,Lists!$Q$5:$U$43, MATCH(D174,Lists!$Q$4:$U$4,0),0)</f>
        <v>615</v>
      </c>
      <c r="F174" s="170">
        <v>0</v>
      </c>
      <c r="G174" s="243">
        <f t="shared" si="19"/>
        <v>0</v>
      </c>
      <c r="H174" s="170">
        <v>20</v>
      </c>
      <c r="I174" s="242">
        <f t="shared" si="20"/>
        <v>12300</v>
      </c>
      <c r="J174" s="170">
        <v>12</v>
      </c>
      <c r="K174" s="242">
        <f t="shared" si="21"/>
        <v>7380</v>
      </c>
      <c r="L174" s="170">
        <v>12</v>
      </c>
      <c r="M174" s="242">
        <f t="shared" si="22"/>
        <v>7380</v>
      </c>
      <c r="N174" s="170">
        <v>12</v>
      </c>
      <c r="O174" s="242">
        <f t="shared" si="23"/>
        <v>7380</v>
      </c>
      <c r="P174" s="170">
        <v>12</v>
      </c>
      <c r="Q174" s="246">
        <f t="shared" si="24"/>
        <v>7380</v>
      </c>
      <c r="R174" s="252">
        <f t="shared" si="25"/>
        <v>68</v>
      </c>
      <c r="S174" s="254">
        <f t="shared" si="18"/>
        <v>41820</v>
      </c>
    </row>
    <row r="175" spans="1:19" hidden="1" outlineLevel="3" x14ac:dyDescent="0.35">
      <c r="A175" s="165"/>
      <c r="B175" s="168" t="s">
        <v>200</v>
      </c>
      <c r="C175" s="168" t="s">
        <v>250</v>
      </c>
      <c r="D175" s="169" t="s">
        <v>172</v>
      </c>
      <c r="E175" s="242">
        <f>VLOOKUP(C175,Lists!$Q$5:$U$43, MATCH(D175,Lists!$Q$4:$U$4,0),0)</f>
        <v>1800</v>
      </c>
      <c r="F175" s="170">
        <v>0</v>
      </c>
      <c r="G175" s="243">
        <f t="shared" si="19"/>
        <v>0</v>
      </c>
      <c r="H175" s="170">
        <v>10</v>
      </c>
      <c r="I175" s="242">
        <f t="shared" si="20"/>
        <v>18000</v>
      </c>
      <c r="J175" s="170">
        <v>15</v>
      </c>
      <c r="K175" s="242">
        <f t="shared" si="21"/>
        <v>27000</v>
      </c>
      <c r="L175" s="170">
        <v>40</v>
      </c>
      <c r="M175" s="242">
        <f t="shared" si="22"/>
        <v>72000</v>
      </c>
      <c r="N175" s="170">
        <v>10</v>
      </c>
      <c r="O175" s="242">
        <f t="shared" si="23"/>
        <v>18000</v>
      </c>
      <c r="P175" s="170">
        <v>10</v>
      </c>
      <c r="Q175" s="246">
        <f t="shared" si="24"/>
        <v>18000</v>
      </c>
      <c r="R175" s="252">
        <f t="shared" si="25"/>
        <v>85</v>
      </c>
      <c r="S175" s="254">
        <f t="shared" si="18"/>
        <v>153000</v>
      </c>
    </row>
    <row r="176" spans="1:19" hidden="1" outlineLevel="3" x14ac:dyDescent="0.35">
      <c r="A176" s="165" t="s">
        <v>251</v>
      </c>
      <c r="B176" s="168" t="s">
        <v>200</v>
      </c>
      <c r="C176" s="168" t="s">
        <v>252</v>
      </c>
      <c r="D176" s="169" t="s">
        <v>172</v>
      </c>
      <c r="E176" s="242">
        <f>VLOOKUP(C176,Lists!$Q$5:$U$43, MATCH(D176,Lists!$Q$4:$U$4,0),0)</f>
        <v>1913</v>
      </c>
      <c r="F176" s="170">
        <v>0</v>
      </c>
      <c r="G176" s="243">
        <f t="shared" si="19"/>
        <v>0</v>
      </c>
      <c r="H176" s="170">
        <v>12</v>
      </c>
      <c r="I176" s="242">
        <f t="shared" si="20"/>
        <v>22956</v>
      </c>
      <c r="J176" s="170">
        <v>12</v>
      </c>
      <c r="K176" s="242">
        <f t="shared" si="21"/>
        <v>22956</v>
      </c>
      <c r="L176" s="170">
        <v>12</v>
      </c>
      <c r="M176" s="242">
        <f t="shared" si="22"/>
        <v>22956</v>
      </c>
      <c r="N176" s="170">
        <v>12</v>
      </c>
      <c r="O176" s="242">
        <f t="shared" si="23"/>
        <v>22956</v>
      </c>
      <c r="P176" s="170">
        <v>12</v>
      </c>
      <c r="Q176" s="246">
        <f t="shared" si="24"/>
        <v>22956</v>
      </c>
      <c r="R176" s="252">
        <f t="shared" si="25"/>
        <v>60</v>
      </c>
      <c r="S176" s="254">
        <f t="shared" si="18"/>
        <v>114780</v>
      </c>
    </row>
    <row r="177" spans="1:19" hidden="1" outlineLevel="3" x14ac:dyDescent="0.35">
      <c r="A177" s="165"/>
      <c r="B177" s="168" t="s">
        <v>187</v>
      </c>
      <c r="C177" s="168" t="s">
        <v>185</v>
      </c>
      <c r="D177" s="169" t="s">
        <v>180</v>
      </c>
      <c r="E177" s="242">
        <f>VLOOKUP(C177,Lists!$Q$5:$U$43, MATCH(D177,Lists!$Q$4:$U$4,0),0)</f>
        <v>615</v>
      </c>
      <c r="F177" s="170">
        <v>0</v>
      </c>
      <c r="G177" s="243">
        <f t="shared" si="19"/>
        <v>0</v>
      </c>
      <c r="H177" s="170">
        <v>12</v>
      </c>
      <c r="I177" s="242">
        <f t="shared" si="20"/>
        <v>7380</v>
      </c>
      <c r="J177" s="170">
        <v>12</v>
      </c>
      <c r="K177" s="242">
        <f t="shared" si="21"/>
        <v>7380</v>
      </c>
      <c r="L177" s="170">
        <v>12</v>
      </c>
      <c r="M177" s="242">
        <f t="shared" si="22"/>
        <v>7380</v>
      </c>
      <c r="N177" s="170">
        <v>12</v>
      </c>
      <c r="O177" s="242">
        <f t="shared" si="23"/>
        <v>7380</v>
      </c>
      <c r="P177" s="170">
        <v>12</v>
      </c>
      <c r="Q177" s="246">
        <f t="shared" si="24"/>
        <v>7380</v>
      </c>
      <c r="R177" s="252">
        <f t="shared" si="25"/>
        <v>60</v>
      </c>
      <c r="S177" s="254">
        <f t="shared" si="18"/>
        <v>36900</v>
      </c>
    </row>
    <row r="178" spans="1:19" hidden="1" outlineLevel="3" x14ac:dyDescent="0.35">
      <c r="A178" s="165" t="s">
        <v>253</v>
      </c>
      <c r="B178" s="168" t="s">
        <v>170</v>
      </c>
      <c r="C178" s="168" t="s">
        <v>171</v>
      </c>
      <c r="D178" s="169" t="s">
        <v>189</v>
      </c>
      <c r="E178" s="242">
        <f>VLOOKUP(C178,Lists!$Q$5:$U$43, MATCH(D178,Lists!$Q$4:$U$4,0),0)</f>
        <v>1850</v>
      </c>
      <c r="F178" s="170">
        <v>0</v>
      </c>
      <c r="G178" s="243">
        <f t="shared" si="19"/>
        <v>0</v>
      </c>
      <c r="H178" s="170">
        <v>12</v>
      </c>
      <c r="I178" s="242">
        <f t="shared" si="20"/>
        <v>22200</v>
      </c>
      <c r="J178" s="170">
        <v>12</v>
      </c>
      <c r="K178" s="242">
        <f t="shared" si="21"/>
        <v>22200</v>
      </c>
      <c r="L178" s="170">
        <v>12</v>
      </c>
      <c r="M178" s="242">
        <f t="shared" si="22"/>
        <v>22200</v>
      </c>
      <c r="N178" s="170">
        <v>12</v>
      </c>
      <c r="O178" s="242">
        <f t="shared" si="23"/>
        <v>22200</v>
      </c>
      <c r="P178" s="170">
        <v>12</v>
      </c>
      <c r="Q178" s="246">
        <f t="shared" si="24"/>
        <v>22200</v>
      </c>
      <c r="R178" s="252">
        <f t="shared" si="25"/>
        <v>60</v>
      </c>
      <c r="S178" s="254">
        <f t="shared" si="18"/>
        <v>111000</v>
      </c>
    </row>
    <row r="179" spans="1:19" hidden="1" outlineLevel="3" x14ac:dyDescent="0.35">
      <c r="A179" s="165"/>
      <c r="B179" s="168" t="s">
        <v>187</v>
      </c>
      <c r="C179" s="168" t="s">
        <v>185</v>
      </c>
      <c r="D179" s="169" t="s">
        <v>180</v>
      </c>
      <c r="E179" s="242">
        <f>VLOOKUP(C179,Lists!$Q$5:$U$43, MATCH(D179,Lists!$Q$4:$U$4,0),0)</f>
        <v>615</v>
      </c>
      <c r="F179" s="170">
        <v>0</v>
      </c>
      <c r="G179" s="243">
        <f t="shared" si="19"/>
        <v>0</v>
      </c>
      <c r="H179" s="170">
        <v>12</v>
      </c>
      <c r="I179" s="242">
        <f t="shared" si="20"/>
        <v>7380</v>
      </c>
      <c r="J179" s="170">
        <v>12</v>
      </c>
      <c r="K179" s="242">
        <f t="shared" si="21"/>
        <v>7380</v>
      </c>
      <c r="L179" s="170">
        <v>12</v>
      </c>
      <c r="M179" s="242">
        <f t="shared" si="22"/>
        <v>7380</v>
      </c>
      <c r="N179" s="170">
        <v>12</v>
      </c>
      <c r="O179" s="242">
        <f t="shared" si="23"/>
        <v>7380</v>
      </c>
      <c r="P179" s="170">
        <v>12</v>
      </c>
      <c r="Q179" s="246">
        <f t="shared" si="24"/>
        <v>7380</v>
      </c>
      <c r="R179" s="252">
        <f t="shared" si="25"/>
        <v>60</v>
      </c>
      <c r="S179" s="254">
        <f t="shared" si="18"/>
        <v>36900</v>
      </c>
    </row>
    <row r="180" spans="1:19" hidden="1" outlineLevel="3" x14ac:dyDescent="0.35">
      <c r="A180" s="165"/>
      <c r="B180" s="168" t="s">
        <v>187</v>
      </c>
      <c r="C180" s="168" t="s">
        <v>185</v>
      </c>
      <c r="D180" s="169" t="s">
        <v>180</v>
      </c>
      <c r="E180" s="242">
        <f>VLOOKUP(C180,Lists!$Q$5:$U$43, MATCH(D180,Lists!$Q$4:$U$4,0),0)</f>
        <v>615</v>
      </c>
      <c r="F180" s="170">
        <v>0</v>
      </c>
      <c r="G180" s="243">
        <f t="shared" si="19"/>
        <v>0</v>
      </c>
      <c r="H180" s="170">
        <v>12</v>
      </c>
      <c r="I180" s="242">
        <f t="shared" si="20"/>
        <v>7380</v>
      </c>
      <c r="J180" s="170">
        <v>12</v>
      </c>
      <c r="K180" s="242">
        <f t="shared" si="21"/>
        <v>7380</v>
      </c>
      <c r="L180" s="170">
        <v>12</v>
      </c>
      <c r="M180" s="242">
        <f t="shared" si="22"/>
        <v>7380</v>
      </c>
      <c r="N180" s="170">
        <v>12</v>
      </c>
      <c r="O180" s="242">
        <f t="shared" si="23"/>
        <v>7380</v>
      </c>
      <c r="P180" s="170">
        <v>12</v>
      </c>
      <c r="Q180" s="246">
        <f t="shared" si="24"/>
        <v>7380</v>
      </c>
      <c r="R180" s="252">
        <f t="shared" si="25"/>
        <v>60</v>
      </c>
      <c r="S180" s="254">
        <f t="shared" si="18"/>
        <v>36900</v>
      </c>
    </row>
    <row r="181" spans="1:19" hidden="1" outlineLevel="3" x14ac:dyDescent="0.35">
      <c r="A181" s="165"/>
      <c r="B181" s="168" t="s">
        <v>187</v>
      </c>
      <c r="C181" s="168" t="s">
        <v>185</v>
      </c>
      <c r="D181" s="169" t="s">
        <v>180</v>
      </c>
      <c r="E181" s="242">
        <f>VLOOKUP(C181,Lists!$Q$5:$U$43, MATCH(D181,Lists!$Q$4:$U$4,0),0)</f>
        <v>615</v>
      </c>
      <c r="F181" s="170">
        <v>0</v>
      </c>
      <c r="G181" s="243">
        <f t="shared" si="19"/>
        <v>0</v>
      </c>
      <c r="H181" s="170"/>
      <c r="I181" s="242">
        <f t="shared" si="20"/>
        <v>0</v>
      </c>
      <c r="J181" s="170"/>
      <c r="K181" s="242">
        <f t="shared" si="21"/>
        <v>0</v>
      </c>
      <c r="L181" s="170"/>
      <c r="M181" s="242">
        <f t="shared" si="22"/>
        <v>0</v>
      </c>
      <c r="N181" s="170"/>
      <c r="O181" s="242">
        <f t="shared" si="23"/>
        <v>0</v>
      </c>
      <c r="P181" s="170"/>
      <c r="Q181" s="246">
        <f t="shared" si="24"/>
        <v>0</v>
      </c>
      <c r="R181" s="252">
        <f t="shared" si="25"/>
        <v>0</v>
      </c>
      <c r="S181" s="254">
        <f t="shared" si="18"/>
        <v>0</v>
      </c>
    </row>
    <row r="182" spans="1:19" hidden="1" outlineLevel="3" x14ac:dyDescent="0.35">
      <c r="A182" s="165"/>
      <c r="B182" s="168" t="s">
        <v>187</v>
      </c>
      <c r="C182" s="168" t="s">
        <v>185</v>
      </c>
      <c r="D182" s="169" t="s">
        <v>254</v>
      </c>
      <c r="E182" s="242">
        <f>VLOOKUP(C182,Lists!$Q$5:$U$43, MATCH(D182,Lists!$Q$4:$U$4,0),0)</f>
        <v>1300</v>
      </c>
      <c r="F182" s="170">
        <v>0</v>
      </c>
      <c r="G182" s="243">
        <f t="shared" si="19"/>
        <v>0</v>
      </c>
      <c r="H182" s="170"/>
      <c r="I182" s="242">
        <f t="shared" si="20"/>
        <v>0</v>
      </c>
      <c r="J182" s="170"/>
      <c r="K182" s="242">
        <f t="shared" si="21"/>
        <v>0</v>
      </c>
      <c r="L182" s="170"/>
      <c r="M182" s="242">
        <f t="shared" si="22"/>
        <v>0</v>
      </c>
      <c r="N182" s="170"/>
      <c r="O182" s="242">
        <f t="shared" si="23"/>
        <v>0</v>
      </c>
      <c r="P182" s="170"/>
      <c r="Q182" s="246">
        <f t="shared" si="24"/>
        <v>0</v>
      </c>
      <c r="R182" s="252">
        <f t="shared" si="25"/>
        <v>0</v>
      </c>
      <c r="S182" s="254">
        <f t="shared" si="18"/>
        <v>0</v>
      </c>
    </row>
    <row r="183" spans="1:19" hidden="1" outlineLevel="3" x14ac:dyDescent="0.35">
      <c r="A183" s="165"/>
      <c r="B183" s="168" t="s">
        <v>187</v>
      </c>
      <c r="C183" s="168" t="s">
        <v>185</v>
      </c>
      <c r="D183" s="169" t="s">
        <v>180</v>
      </c>
      <c r="E183" s="242">
        <f>VLOOKUP(C183,Lists!$Q$5:$U$43, MATCH(D183,Lists!$Q$4:$U$4,0),0)</f>
        <v>615</v>
      </c>
      <c r="F183" s="170">
        <v>0</v>
      </c>
      <c r="G183" s="243">
        <f t="shared" si="19"/>
        <v>0</v>
      </c>
      <c r="H183" s="170"/>
      <c r="I183" s="242">
        <f t="shared" si="20"/>
        <v>0</v>
      </c>
      <c r="J183" s="170"/>
      <c r="K183" s="242">
        <f t="shared" si="21"/>
        <v>0</v>
      </c>
      <c r="L183" s="170"/>
      <c r="M183" s="242">
        <f t="shared" si="22"/>
        <v>0</v>
      </c>
      <c r="N183" s="170"/>
      <c r="O183" s="242">
        <f t="shared" si="23"/>
        <v>0</v>
      </c>
      <c r="P183" s="170"/>
      <c r="Q183" s="246">
        <f t="shared" si="24"/>
        <v>0</v>
      </c>
      <c r="R183" s="252">
        <f t="shared" si="25"/>
        <v>0</v>
      </c>
      <c r="S183" s="254">
        <f t="shared" si="18"/>
        <v>0</v>
      </c>
    </row>
    <row r="184" spans="1:19" hidden="1" outlineLevel="3" x14ac:dyDescent="0.35">
      <c r="A184" s="165"/>
      <c r="B184" s="168" t="s">
        <v>187</v>
      </c>
      <c r="C184" s="168" t="s">
        <v>185</v>
      </c>
      <c r="D184" s="169" t="s">
        <v>180</v>
      </c>
      <c r="E184" s="242">
        <f>VLOOKUP(C184,Lists!$Q$5:$U$43, MATCH(D184,Lists!$Q$4:$U$4,0),0)</f>
        <v>615</v>
      </c>
      <c r="F184" s="170">
        <v>0</v>
      </c>
      <c r="G184" s="243">
        <f t="shared" si="19"/>
        <v>0</v>
      </c>
      <c r="H184" s="170"/>
      <c r="I184" s="242">
        <f t="shared" si="20"/>
        <v>0</v>
      </c>
      <c r="J184" s="170"/>
      <c r="K184" s="242">
        <f t="shared" si="21"/>
        <v>0</v>
      </c>
      <c r="L184" s="170"/>
      <c r="M184" s="242">
        <f t="shared" si="22"/>
        <v>0</v>
      </c>
      <c r="N184" s="170"/>
      <c r="O184" s="242">
        <f t="shared" si="23"/>
        <v>0</v>
      </c>
      <c r="P184" s="170"/>
      <c r="Q184" s="246">
        <f t="shared" si="24"/>
        <v>0</v>
      </c>
      <c r="R184" s="252">
        <f t="shared" si="25"/>
        <v>0</v>
      </c>
      <c r="S184" s="254">
        <f t="shared" si="18"/>
        <v>0</v>
      </c>
    </row>
    <row r="185" spans="1:19" hidden="1" outlineLevel="3" x14ac:dyDescent="0.35">
      <c r="A185" s="165"/>
      <c r="B185" s="168" t="s">
        <v>187</v>
      </c>
      <c r="C185" s="168" t="s">
        <v>185</v>
      </c>
      <c r="D185" s="169" t="s">
        <v>180</v>
      </c>
      <c r="E185" s="242">
        <f>VLOOKUP(C185,Lists!$Q$5:$U$43, MATCH(D185,Lists!$Q$4:$U$4,0),0)</f>
        <v>615</v>
      </c>
      <c r="F185" s="170">
        <v>0</v>
      </c>
      <c r="G185" s="243">
        <f t="shared" si="19"/>
        <v>0</v>
      </c>
      <c r="H185" s="170"/>
      <c r="I185" s="242">
        <f t="shared" si="20"/>
        <v>0</v>
      </c>
      <c r="J185" s="170"/>
      <c r="K185" s="242">
        <f t="shared" si="21"/>
        <v>0</v>
      </c>
      <c r="L185" s="170"/>
      <c r="M185" s="242">
        <f t="shared" si="22"/>
        <v>0</v>
      </c>
      <c r="N185" s="170"/>
      <c r="O185" s="242">
        <f t="shared" si="23"/>
        <v>0</v>
      </c>
      <c r="P185" s="170"/>
      <c r="Q185" s="246">
        <f t="shared" si="24"/>
        <v>0</v>
      </c>
      <c r="R185" s="252">
        <f t="shared" si="25"/>
        <v>0</v>
      </c>
      <c r="S185" s="254">
        <f t="shared" si="18"/>
        <v>0</v>
      </c>
    </row>
    <row r="186" spans="1:19" hidden="1" outlineLevel="3" x14ac:dyDescent="0.35">
      <c r="A186" s="165"/>
      <c r="B186" s="168" t="s">
        <v>170</v>
      </c>
      <c r="C186" s="168" t="s">
        <v>171</v>
      </c>
      <c r="D186" s="169" t="s">
        <v>172</v>
      </c>
      <c r="E186" s="242">
        <f>VLOOKUP(C186,Lists!$Q$5:$U$43, MATCH(D186,Lists!$Q$4:$U$4,0),0)</f>
        <v>2900</v>
      </c>
      <c r="F186" s="170">
        <v>0</v>
      </c>
      <c r="G186" s="243">
        <f t="shared" si="19"/>
        <v>0</v>
      </c>
      <c r="H186" s="170"/>
      <c r="I186" s="242">
        <f t="shared" si="20"/>
        <v>0</v>
      </c>
      <c r="J186" s="170"/>
      <c r="K186" s="242">
        <f t="shared" si="21"/>
        <v>0</v>
      </c>
      <c r="L186" s="170"/>
      <c r="M186" s="242">
        <f t="shared" si="22"/>
        <v>0</v>
      </c>
      <c r="N186" s="170"/>
      <c r="O186" s="242">
        <f t="shared" si="23"/>
        <v>0</v>
      </c>
      <c r="P186" s="170"/>
      <c r="Q186" s="246">
        <f t="shared" si="24"/>
        <v>0</v>
      </c>
      <c r="R186" s="252">
        <f t="shared" si="25"/>
        <v>0</v>
      </c>
      <c r="S186" s="254">
        <f t="shared" si="18"/>
        <v>0</v>
      </c>
    </row>
    <row r="187" spans="1:19" hidden="1" outlineLevel="3" x14ac:dyDescent="0.35">
      <c r="A187" s="165"/>
      <c r="B187" s="168" t="s">
        <v>198</v>
      </c>
      <c r="C187" s="168" t="s">
        <v>199</v>
      </c>
      <c r="D187" s="169" t="s">
        <v>172</v>
      </c>
      <c r="E187" s="242">
        <f>VLOOKUP(C187,Lists!$Q$5:$U$43, MATCH(D187,Lists!$Q$4:$U$4,0),0)</f>
        <v>2400</v>
      </c>
      <c r="F187" s="170">
        <v>0</v>
      </c>
      <c r="G187" s="243">
        <f t="shared" si="19"/>
        <v>0</v>
      </c>
      <c r="H187" s="170">
        <v>1</v>
      </c>
      <c r="I187" s="242">
        <f t="shared" si="20"/>
        <v>2400</v>
      </c>
      <c r="J187" s="170"/>
      <c r="K187" s="242">
        <f t="shared" si="21"/>
        <v>0</v>
      </c>
      <c r="L187" s="170"/>
      <c r="M187" s="242">
        <f t="shared" si="22"/>
        <v>0</v>
      </c>
      <c r="N187" s="170"/>
      <c r="O187" s="242">
        <f t="shared" si="23"/>
        <v>0</v>
      </c>
      <c r="P187" s="170"/>
      <c r="Q187" s="246">
        <f t="shared" si="24"/>
        <v>0</v>
      </c>
      <c r="R187" s="252">
        <f t="shared" si="25"/>
        <v>1</v>
      </c>
      <c r="S187" s="254">
        <f t="shared" si="18"/>
        <v>2400</v>
      </c>
    </row>
    <row r="188" spans="1:19" hidden="1" outlineLevel="3" x14ac:dyDescent="0.35">
      <c r="A188" s="165"/>
      <c r="B188" s="168" t="s">
        <v>196</v>
      </c>
      <c r="C188" s="168" t="s">
        <v>197</v>
      </c>
      <c r="D188" s="169" t="s">
        <v>172</v>
      </c>
      <c r="E188" s="242">
        <f>VLOOKUP(C188,Lists!$Q$5:$U$43, MATCH(D188,Lists!$Q$4:$U$4,0),0)</f>
        <v>1986</v>
      </c>
      <c r="F188" s="170">
        <v>0</v>
      </c>
      <c r="G188" s="243">
        <f t="shared" si="19"/>
        <v>0</v>
      </c>
      <c r="H188" s="170"/>
      <c r="I188" s="242">
        <f t="shared" si="20"/>
        <v>0</v>
      </c>
      <c r="J188" s="170"/>
      <c r="K188" s="242">
        <f t="shared" si="21"/>
        <v>0</v>
      </c>
      <c r="L188" s="170"/>
      <c r="M188" s="242">
        <f t="shared" si="22"/>
        <v>0</v>
      </c>
      <c r="N188" s="170"/>
      <c r="O188" s="242">
        <f t="shared" si="23"/>
        <v>0</v>
      </c>
      <c r="P188" s="170"/>
      <c r="Q188" s="246">
        <f t="shared" si="24"/>
        <v>0</v>
      </c>
      <c r="R188" s="252">
        <f t="shared" si="25"/>
        <v>0</v>
      </c>
      <c r="S188" s="254">
        <f t="shared" si="18"/>
        <v>0</v>
      </c>
    </row>
    <row r="189" spans="1:19" hidden="1" outlineLevel="3" x14ac:dyDescent="0.35">
      <c r="A189" s="165"/>
      <c r="B189" s="168" t="s">
        <v>196</v>
      </c>
      <c r="C189" s="168" t="s">
        <v>197</v>
      </c>
      <c r="D189" s="169" t="s">
        <v>172</v>
      </c>
      <c r="E189" s="242">
        <f>VLOOKUP(C189,Lists!$Q$5:$U$43, MATCH(D189,Lists!$Q$4:$U$4,0),0)</f>
        <v>1986</v>
      </c>
      <c r="F189" s="170">
        <v>0</v>
      </c>
      <c r="G189" s="243">
        <f t="shared" si="19"/>
        <v>0</v>
      </c>
      <c r="H189" s="170"/>
      <c r="I189" s="242">
        <f t="shared" si="20"/>
        <v>0</v>
      </c>
      <c r="J189" s="170"/>
      <c r="K189" s="242">
        <f t="shared" si="21"/>
        <v>0</v>
      </c>
      <c r="L189" s="170"/>
      <c r="M189" s="242">
        <f t="shared" si="22"/>
        <v>0</v>
      </c>
      <c r="N189" s="170"/>
      <c r="O189" s="242">
        <f t="shared" si="23"/>
        <v>0</v>
      </c>
      <c r="P189" s="170"/>
      <c r="Q189" s="246">
        <f t="shared" si="24"/>
        <v>0</v>
      </c>
      <c r="R189" s="252">
        <f t="shared" si="25"/>
        <v>0</v>
      </c>
      <c r="S189" s="254">
        <f t="shared" si="18"/>
        <v>0</v>
      </c>
    </row>
    <row r="190" spans="1:19" hidden="1" outlineLevel="3" x14ac:dyDescent="0.35">
      <c r="A190" s="165"/>
      <c r="B190" s="168" t="s">
        <v>196</v>
      </c>
      <c r="C190" s="168" t="s">
        <v>197</v>
      </c>
      <c r="D190" s="169" t="s">
        <v>172</v>
      </c>
      <c r="E190" s="242">
        <f>VLOOKUP(C190,Lists!$Q$5:$U$43, MATCH(D190,Lists!$Q$4:$U$4,0),0)</f>
        <v>1986</v>
      </c>
      <c r="F190" s="170">
        <v>0</v>
      </c>
      <c r="G190" s="244">
        <f t="shared" si="19"/>
        <v>0</v>
      </c>
      <c r="H190" s="170"/>
      <c r="I190" s="242">
        <f t="shared" si="20"/>
        <v>0</v>
      </c>
      <c r="J190" s="170"/>
      <c r="K190" s="242">
        <f t="shared" si="21"/>
        <v>0</v>
      </c>
      <c r="L190" s="170"/>
      <c r="M190" s="242">
        <f t="shared" si="22"/>
        <v>0</v>
      </c>
      <c r="N190" s="170"/>
      <c r="O190" s="242">
        <f t="shared" si="23"/>
        <v>0</v>
      </c>
      <c r="P190" s="170"/>
      <c r="Q190" s="246">
        <f t="shared" si="24"/>
        <v>0</v>
      </c>
      <c r="R190" s="252">
        <f t="shared" si="25"/>
        <v>0</v>
      </c>
      <c r="S190" s="254">
        <f t="shared" si="18"/>
        <v>0</v>
      </c>
    </row>
    <row r="191" spans="1:19" hidden="1" outlineLevel="3" x14ac:dyDescent="0.35">
      <c r="A191" s="165"/>
      <c r="B191" s="168" t="s">
        <v>196</v>
      </c>
      <c r="C191" s="168" t="s">
        <v>197</v>
      </c>
      <c r="D191" s="169" t="s">
        <v>172</v>
      </c>
      <c r="E191" s="242">
        <f>VLOOKUP(C191,Lists!$Q$5:$U$43, MATCH(D191,Lists!$Q$4:$U$4,0),0)</f>
        <v>1986</v>
      </c>
      <c r="F191" s="170">
        <v>0</v>
      </c>
      <c r="G191" s="245">
        <f t="shared" si="19"/>
        <v>0</v>
      </c>
      <c r="H191" s="170"/>
      <c r="I191" s="242">
        <f t="shared" si="20"/>
        <v>0</v>
      </c>
      <c r="J191" s="170"/>
      <c r="K191" s="242">
        <f t="shared" si="21"/>
        <v>0</v>
      </c>
      <c r="L191" s="170"/>
      <c r="M191" s="242">
        <f t="shared" si="22"/>
        <v>0</v>
      </c>
      <c r="N191" s="170"/>
      <c r="O191" s="242">
        <f t="shared" si="23"/>
        <v>0</v>
      </c>
      <c r="P191" s="170"/>
      <c r="Q191" s="246">
        <f t="shared" si="24"/>
        <v>0</v>
      </c>
      <c r="R191" s="252">
        <f t="shared" si="25"/>
        <v>0</v>
      </c>
      <c r="S191" s="254">
        <f t="shared" si="18"/>
        <v>0</v>
      </c>
    </row>
    <row r="192" spans="1:19" hidden="1" outlineLevel="3" x14ac:dyDescent="0.35">
      <c r="A192" s="165"/>
      <c r="B192" s="168" t="s">
        <v>196</v>
      </c>
      <c r="C192" s="168" t="s">
        <v>197</v>
      </c>
      <c r="D192" s="169" t="s">
        <v>172</v>
      </c>
      <c r="E192" s="242">
        <f>VLOOKUP(C192,Lists!$Q$5:$U$43, MATCH(D192,Lists!$Q$4:$U$4,0),0)</f>
        <v>1986</v>
      </c>
      <c r="F192" s="170">
        <v>0</v>
      </c>
      <c r="G192" s="245">
        <f t="shared" si="19"/>
        <v>0</v>
      </c>
      <c r="H192" s="170"/>
      <c r="I192" s="242">
        <f t="shared" si="20"/>
        <v>0</v>
      </c>
      <c r="J192" s="170"/>
      <c r="K192" s="242">
        <f t="shared" si="21"/>
        <v>0</v>
      </c>
      <c r="L192" s="170"/>
      <c r="M192" s="242">
        <f t="shared" si="22"/>
        <v>0</v>
      </c>
      <c r="N192" s="170"/>
      <c r="O192" s="242">
        <f t="shared" si="23"/>
        <v>0</v>
      </c>
      <c r="P192" s="170"/>
      <c r="Q192" s="246">
        <f t="shared" si="24"/>
        <v>0</v>
      </c>
      <c r="R192" s="252">
        <f t="shared" si="25"/>
        <v>0</v>
      </c>
      <c r="S192" s="254">
        <f t="shared" si="18"/>
        <v>0</v>
      </c>
    </row>
    <row r="193" spans="1:19" hidden="1" outlineLevel="3" x14ac:dyDescent="0.35">
      <c r="A193" s="165"/>
      <c r="B193" s="168" t="s">
        <v>196</v>
      </c>
      <c r="C193" s="168" t="s">
        <v>197</v>
      </c>
      <c r="D193" s="169" t="s">
        <v>172</v>
      </c>
      <c r="E193" s="242">
        <f>VLOOKUP(C193,Lists!$Q$5:$U$43, MATCH(D193,Lists!$Q$4:$U$4,0),0)</f>
        <v>1986</v>
      </c>
      <c r="F193" s="170">
        <v>0</v>
      </c>
      <c r="G193" s="245">
        <f t="shared" si="19"/>
        <v>0</v>
      </c>
      <c r="H193" s="170"/>
      <c r="I193" s="242">
        <f t="shared" si="20"/>
        <v>0</v>
      </c>
      <c r="J193" s="170"/>
      <c r="K193" s="242">
        <f t="shared" si="21"/>
        <v>0</v>
      </c>
      <c r="L193" s="170"/>
      <c r="M193" s="242">
        <f t="shared" si="22"/>
        <v>0</v>
      </c>
      <c r="N193" s="170"/>
      <c r="O193" s="242">
        <f t="shared" si="23"/>
        <v>0</v>
      </c>
      <c r="P193" s="170"/>
      <c r="Q193" s="246">
        <f t="shared" si="24"/>
        <v>0</v>
      </c>
      <c r="R193" s="252">
        <f t="shared" si="25"/>
        <v>0</v>
      </c>
      <c r="S193" s="254">
        <f t="shared" si="18"/>
        <v>0</v>
      </c>
    </row>
    <row r="194" spans="1:19" hidden="1" outlineLevel="3" x14ac:dyDescent="0.35">
      <c r="A194" s="166"/>
      <c r="B194" s="168" t="s">
        <v>196</v>
      </c>
      <c r="C194" s="168" t="s">
        <v>197</v>
      </c>
      <c r="D194" s="169" t="s">
        <v>172</v>
      </c>
      <c r="E194" s="242">
        <f>VLOOKUP(C194,Lists!$Q$5:$U$43, MATCH(D194,Lists!$Q$4:$U$4,0),0)</f>
        <v>1986</v>
      </c>
      <c r="F194" s="170">
        <v>0</v>
      </c>
      <c r="G194" s="245">
        <f t="shared" si="19"/>
        <v>0</v>
      </c>
      <c r="H194" s="170"/>
      <c r="I194" s="242">
        <f t="shared" si="20"/>
        <v>0</v>
      </c>
      <c r="J194" s="170"/>
      <c r="K194" s="242">
        <f t="shared" si="21"/>
        <v>0</v>
      </c>
      <c r="L194" s="170"/>
      <c r="M194" s="242">
        <f t="shared" si="22"/>
        <v>0</v>
      </c>
      <c r="N194" s="170"/>
      <c r="O194" s="36">
        <f t="shared" si="23"/>
        <v>0</v>
      </c>
      <c r="P194" s="170"/>
      <c r="Q194" s="246">
        <f t="shared" si="24"/>
        <v>0</v>
      </c>
      <c r="R194" s="252">
        <f t="shared" si="25"/>
        <v>0</v>
      </c>
      <c r="S194" s="254">
        <f t="shared" si="18"/>
        <v>0</v>
      </c>
    </row>
    <row r="195" spans="1:19" ht="16" hidden="1" outlineLevel="3" thickBot="1" x14ac:dyDescent="0.4">
      <c r="A195" s="417" t="s">
        <v>258</v>
      </c>
      <c r="B195" s="417"/>
      <c r="C195" s="417"/>
      <c r="D195" s="417"/>
      <c r="E195" s="418"/>
      <c r="F195" s="249"/>
      <c r="G195" s="250">
        <f>SUM(G172:G194)</f>
        <v>0</v>
      </c>
      <c r="H195" s="251"/>
      <c r="I195" s="250">
        <f>SUM(I172:I194)</f>
        <v>132296</v>
      </c>
      <c r="J195" s="251"/>
      <c r="K195" s="250">
        <f>SUM(K172:K194)</f>
        <v>127826</v>
      </c>
      <c r="L195" s="251"/>
      <c r="M195" s="250">
        <f>SUM(M172:M194)</f>
        <v>172826</v>
      </c>
      <c r="N195" s="251"/>
      <c r="O195" s="250">
        <f>SUM(O172:O194)</f>
        <v>118826</v>
      </c>
      <c r="P195" s="251"/>
      <c r="Q195" s="250">
        <f>SUM(Q172:Q194)</f>
        <v>118826</v>
      </c>
      <c r="R195" s="247"/>
      <c r="S195" s="248">
        <f>SUM(S172:S194)</f>
        <v>670600</v>
      </c>
    </row>
    <row r="196" spans="1:19" hidden="1" outlineLevel="2" x14ac:dyDescent="0.35">
      <c r="A196" s="55"/>
      <c r="B196" s="56"/>
      <c r="C196" s="56"/>
      <c r="D196" s="56"/>
      <c r="E196" s="57"/>
      <c r="F196" s="58"/>
      <c r="G196" s="57"/>
      <c r="H196" s="58"/>
      <c r="I196" s="56"/>
      <c r="J196" s="58"/>
      <c r="K196" s="56"/>
      <c r="L196" s="58"/>
      <c r="M196" s="56"/>
      <c r="N196" s="58"/>
      <c r="O196" s="56"/>
      <c r="P196" s="58"/>
      <c r="Q196" s="59"/>
      <c r="R196" s="56"/>
      <c r="S196" s="56"/>
    </row>
    <row r="197" spans="1:19" ht="18.5" hidden="1" outlineLevel="2" x14ac:dyDescent="0.45">
      <c r="A197" s="186" t="s">
        <v>259</v>
      </c>
      <c r="B197" s="187"/>
      <c r="C197" s="187"/>
      <c r="D197" s="187"/>
      <c r="E197" s="192">
        <f>R198</f>
        <v>669985</v>
      </c>
      <c r="F197" s="187"/>
      <c r="G197" s="187"/>
      <c r="H197" s="187"/>
      <c r="I197" s="187"/>
      <c r="J197" s="187"/>
      <c r="K197" s="187"/>
      <c r="L197" s="187"/>
      <c r="M197" s="187"/>
      <c r="N197" s="187"/>
      <c r="O197" s="187"/>
      <c r="P197" s="187"/>
      <c r="Q197" s="187"/>
      <c r="R197" s="190"/>
      <c r="S197" s="191"/>
    </row>
    <row r="198" spans="1:19" ht="15.5" hidden="1" outlineLevel="2" thickBot="1" x14ac:dyDescent="0.4">
      <c r="A198" s="417" t="s">
        <v>260</v>
      </c>
      <c r="B198" s="417"/>
      <c r="C198" s="417"/>
      <c r="D198" s="417"/>
      <c r="E198" s="418"/>
      <c r="F198" s="414">
        <f>G195-G169</f>
        <v>-615</v>
      </c>
      <c r="G198" s="414"/>
      <c r="H198" s="414">
        <f>I195-I169</f>
        <v>132296</v>
      </c>
      <c r="I198" s="414"/>
      <c r="J198" s="414">
        <f>K195-K169</f>
        <v>127826</v>
      </c>
      <c r="K198" s="414"/>
      <c r="L198" s="414">
        <f>M195-M169</f>
        <v>172826</v>
      </c>
      <c r="M198" s="414"/>
      <c r="N198" s="414">
        <f>O195-O169</f>
        <v>118826</v>
      </c>
      <c r="O198" s="414"/>
      <c r="P198" s="414">
        <f>Q195-Q169</f>
        <v>118826</v>
      </c>
      <c r="Q198" s="414"/>
      <c r="R198" s="415">
        <f>S195-S169</f>
        <v>669985</v>
      </c>
      <c r="S198" s="416"/>
    </row>
    <row r="199" spans="1:19" hidden="1" outlineLevel="1" x14ac:dyDescent="0.35">
      <c r="I199"/>
      <c r="J199"/>
    </row>
    <row r="200" spans="1:19" ht="18.75" hidden="1" customHeight="1" outlineLevel="1" x14ac:dyDescent="0.45">
      <c r="A200" s="400" t="s">
        <v>65</v>
      </c>
      <c r="B200" s="400"/>
      <c r="C200" s="400"/>
      <c r="D200" s="400"/>
      <c r="E200" s="184">
        <f>H227</f>
        <v>2</v>
      </c>
      <c r="I200"/>
      <c r="K200" s="3"/>
      <c r="L200" s="3"/>
      <c r="M200" s="3"/>
      <c r="N200" s="3"/>
      <c r="O200" s="3"/>
      <c r="P200" s="3"/>
      <c r="Q200" s="3"/>
      <c r="R200" s="3"/>
      <c r="S200" s="3"/>
    </row>
    <row r="201" spans="1:19" ht="18.5" hidden="1" outlineLevel="2" collapsed="1" x14ac:dyDescent="0.45">
      <c r="A201" s="194" t="s">
        <v>261</v>
      </c>
      <c r="B201" s="194"/>
      <c r="C201" s="194"/>
      <c r="D201" s="194"/>
      <c r="E201" s="197">
        <f>H209</f>
        <v>12</v>
      </c>
      <c r="F201" s="194"/>
      <c r="G201" s="194"/>
      <c r="H201" s="194"/>
      <c r="K201" s="3"/>
      <c r="L201" s="3"/>
      <c r="M201" s="3"/>
      <c r="N201" s="3"/>
      <c r="O201" s="3"/>
      <c r="P201" s="3"/>
      <c r="Q201" s="3"/>
      <c r="R201" s="3"/>
      <c r="S201" s="3"/>
    </row>
    <row r="202" spans="1:19" ht="29.75" hidden="1" customHeight="1" outlineLevel="3" x14ac:dyDescent="0.35">
      <c r="A202" s="195" t="s">
        <v>262</v>
      </c>
      <c r="B202" s="196" t="s">
        <v>117</v>
      </c>
      <c r="C202" s="196" t="s">
        <v>118</v>
      </c>
      <c r="D202" s="196" t="s">
        <v>119</v>
      </c>
      <c r="E202" s="196" t="s">
        <v>120</v>
      </c>
      <c r="F202" s="196" t="s">
        <v>121</v>
      </c>
      <c r="G202" s="196" t="s">
        <v>122</v>
      </c>
      <c r="H202" s="239" t="s">
        <v>241</v>
      </c>
      <c r="K202" s="3"/>
      <c r="L202" s="3"/>
      <c r="M202" s="3"/>
      <c r="N202" s="3"/>
      <c r="O202" s="3"/>
      <c r="P202" s="3"/>
      <c r="Q202" s="3"/>
      <c r="R202" s="3"/>
      <c r="S202" s="3"/>
    </row>
    <row r="203" spans="1:19" ht="15.5" hidden="1" outlineLevel="3" x14ac:dyDescent="0.35">
      <c r="A203" s="185" t="s">
        <v>97</v>
      </c>
      <c r="B203" s="193">
        <v>2</v>
      </c>
      <c r="C203" s="193">
        <v>0</v>
      </c>
      <c r="D203" s="193">
        <v>0</v>
      </c>
      <c r="E203" s="193">
        <v>0</v>
      </c>
      <c r="F203" s="193">
        <v>0</v>
      </c>
      <c r="G203" s="193">
        <v>2</v>
      </c>
      <c r="H203" s="239">
        <f t="shared" ref="H203:H208" si="26">SUM(B203:G203)</f>
        <v>4</v>
      </c>
      <c r="K203" s="3"/>
      <c r="L203" s="3"/>
      <c r="M203" s="3"/>
      <c r="N203" s="3"/>
      <c r="O203" s="3"/>
      <c r="P203" s="3"/>
      <c r="Q203" s="3"/>
      <c r="R203" s="3"/>
      <c r="S203" s="3"/>
    </row>
    <row r="204" spans="1:19" ht="15.5" hidden="1" outlineLevel="3" x14ac:dyDescent="0.35">
      <c r="A204" s="185" t="s">
        <v>98</v>
      </c>
      <c r="B204" s="193">
        <v>0</v>
      </c>
      <c r="C204" s="193">
        <v>0</v>
      </c>
      <c r="D204" s="193">
        <v>2</v>
      </c>
      <c r="E204" s="193"/>
      <c r="F204" s="193">
        <v>2</v>
      </c>
      <c r="G204" s="193">
        <v>2</v>
      </c>
      <c r="H204" s="239">
        <f t="shared" si="26"/>
        <v>6</v>
      </c>
      <c r="K204" s="3"/>
      <c r="L204" s="3"/>
      <c r="M204" s="3"/>
      <c r="N204" s="3"/>
      <c r="O204" s="3"/>
      <c r="P204" s="3"/>
      <c r="Q204" s="3"/>
      <c r="R204" s="3"/>
      <c r="S204" s="3"/>
    </row>
    <row r="205" spans="1:19" ht="15.5" hidden="1" outlineLevel="3" x14ac:dyDescent="0.35">
      <c r="A205" s="185" t="s">
        <v>99</v>
      </c>
      <c r="B205" s="193">
        <v>0</v>
      </c>
      <c r="C205" s="193">
        <v>0</v>
      </c>
      <c r="D205" s="193">
        <v>0</v>
      </c>
      <c r="E205" s="193"/>
      <c r="F205" s="193">
        <v>0</v>
      </c>
      <c r="G205" s="193">
        <v>0</v>
      </c>
      <c r="H205" s="239">
        <f t="shared" si="26"/>
        <v>0</v>
      </c>
      <c r="K205" s="3"/>
      <c r="L205" s="3"/>
      <c r="M205" s="3"/>
      <c r="N205" s="3"/>
      <c r="O205" s="3"/>
      <c r="P205" s="3"/>
      <c r="Q205" s="3"/>
      <c r="R205" s="3"/>
      <c r="S205" s="3"/>
    </row>
    <row r="206" spans="1:19" ht="15.5" hidden="1" outlineLevel="3" x14ac:dyDescent="0.35">
      <c r="A206" s="185" t="s">
        <v>100</v>
      </c>
      <c r="B206" s="193"/>
      <c r="C206" s="193">
        <v>0</v>
      </c>
      <c r="D206" s="193"/>
      <c r="E206" s="193"/>
      <c r="F206" s="193">
        <v>2</v>
      </c>
      <c r="G206" s="193"/>
      <c r="H206" s="239">
        <f t="shared" si="26"/>
        <v>2</v>
      </c>
      <c r="K206" s="3"/>
      <c r="L206" s="3"/>
      <c r="M206" s="3"/>
      <c r="N206" s="3"/>
      <c r="O206" s="3"/>
      <c r="P206" s="3"/>
      <c r="Q206" s="3"/>
      <c r="R206" s="3"/>
      <c r="S206" s="3"/>
    </row>
    <row r="207" spans="1:19" ht="15.5" hidden="1" outlineLevel="3" x14ac:dyDescent="0.35">
      <c r="A207" s="185" t="s">
        <v>101</v>
      </c>
      <c r="B207" s="193"/>
      <c r="C207" s="193"/>
      <c r="D207" s="193"/>
      <c r="E207" s="193"/>
      <c r="F207" s="193"/>
      <c r="G207" s="193"/>
      <c r="H207" s="239">
        <f t="shared" si="26"/>
        <v>0</v>
      </c>
      <c r="K207" s="3"/>
      <c r="L207" s="3"/>
      <c r="M207" s="3"/>
      <c r="N207" s="3"/>
      <c r="O207" s="3"/>
      <c r="P207" s="3"/>
      <c r="Q207" s="3"/>
      <c r="R207" s="3"/>
      <c r="S207" s="3"/>
    </row>
    <row r="208" spans="1:19" ht="15.5" hidden="1" outlineLevel="3" x14ac:dyDescent="0.35">
      <c r="A208" s="185" t="s">
        <v>102</v>
      </c>
      <c r="B208" s="193"/>
      <c r="C208" s="193"/>
      <c r="D208" s="193"/>
      <c r="E208" s="193"/>
      <c r="F208" s="193"/>
      <c r="G208" s="193"/>
      <c r="H208" s="239">
        <f t="shared" si="26"/>
        <v>0</v>
      </c>
      <c r="K208" s="3"/>
      <c r="L208" s="3"/>
      <c r="M208" s="3"/>
      <c r="N208" s="3"/>
      <c r="O208" s="3"/>
      <c r="P208" s="3"/>
      <c r="Q208" s="3"/>
      <c r="R208" s="3"/>
      <c r="S208" s="3"/>
    </row>
    <row r="209" spans="1:19" ht="15" hidden="1" outlineLevel="3" x14ac:dyDescent="0.35">
      <c r="A209" s="241" t="s">
        <v>263</v>
      </c>
      <c r="B209" s="240">
        <f>SUM(B203:B208)</f>
        <v>2</v>
      </c>
      <c r="C209" s="240">
        <f t="shared" ref="C209:H209" si="27">SUM(C203:C208)</f>
        <v>0</v>
      </c>
      <c r="D209" s="240">
        <f t="shared" si="27"/>
        <v>2</v>
      </c>
      <c r="E209" s="240">
        <f t="shared" si="27"/>
        <v>0</v>
      </c>
      <c r="F209" s="240">
        <f t="shared" si="27"/>
        <v>4</v>
      </c>
      <c r="G209" s="240">
        <f t="shared" si="27"/>
        <v>4</v>
      </c>
      <c r="H209" s="240">
        <f t="shared" si="27"/>
        <v>12</v>
      </c>
      <c r="K209" s="3"/>
      <c r="L209" s="3"/>
      <c r="M209" s="3"/>
      <c r="N209" s="3"/>
      <c r="O209" s="3"/>
      <c r="P209" s="3"/>
      <c r="Q209" s="3"/>
      <c r="R209" s="3"/>
      <c r="S209" s="3"/>
    </row>
    <row r="210" spans="1:19" ht="18.5" hidden="1" outlineLevel="2" collapsed="1" x14ac:dyDescent="0.45">
      <c r="A210" s="194" t="s">
        <v>264</v>
      </c>
      <c r="B210" s="194"/>
      <c r="C210" s="194"/>
      <c r="D210" s="194"/>
      <c r="E210" s="197">
        <f>H218</f>
        <v>14</v>
      </c>
      <c r="F210" s="194"/>
      <c r="G210" s="194"/>
      <c r="H210" s="194"/>
      <c r="K210" s="3"/>
      <c r="L210" s="3"/>
      <c r="M210" s="3"/>
      <c r="N210" s="3"/>
      <c r="O210" s="3"/>
      <c r="P210" s="3"/>
      <c r="Q210" s="3"/>
      <c r="R210" s="3"/>
      <c r="S210" s="3"/>
    </row>
    <row r="211" spans="1:19" ht="29.75" hidden="1" customHeight="1" outlineLevel="3" x14ac:dyDescent="0.35">
      <c r="A211" s="195" t="s">
        <v>262</v>
      </c>
      <c r="B211" s="196" t="s">
        <v>117</v>
      </c>
      <c r="C211" s="196" t="s">
        <v>118</v>
      </c>
      <c r="D211" s="196" t="s">
        <v>119</v>
      </c>
      <c r="E211" s="196" t="s">
        <v>120</v>
      </c>
      <c r="F211" s="196" t="s">
        <v>121</v>
      </c>
      <c r="G211" s="196" t="s">
        <v>122</v>
      </c>
      <c r="H211" s="239" t="s">
        <v>241</v>
      </c>
      <c r="K211" s="3"/>
      <c r="L211" s="3"/>
      <c r="M211" s="3"/>
      <c r="N211" s="3"/>
      <c r="O211" s="3"/>
      <c r="P211" s="3"/>
      <c r="Q211" s="3"/>
      <c r="R211" s="3"/>
      <c r="S211" s="3"/>
    </row>
    <row r="212" spans="1:19" ht="15.5" hidden="1" outlineLevel="3" x14ac:dyDescent="0.35">
      <c r="A212" s="185" t="s">
        <v>97</v>
      </c>
      <c r="B212" s="193">
        <v>2</v>
      </c>
      <c r="C212" s="193">
        <v>0</v>
      </c>
      <c r="D212" s="193">
        <v>0</v>
      </c>
      <c r="E212" s="193">
        <v>0</v>
      </c>
      <c r="F212" s="193">
        <v>0</v>
      </c>
      <c r="G212" s="193">
        <v>2</v>
      </c>
      <c r="H212" s="239">
        <f t="shared" ref="H212:H217" si="28">SUM(B212:G212)</f>
        <v>4</v>
      </c>
      <c r="K212" s="3"/>
      <c r="L212" s="3"/>
      <c r="M212" s="3"/>
      <c r="N212" s="3"/>
      <c r="O212" s="3"/>
      <c r="P212" s="3"/>
      <c r="Q212" s="3"/>
      <c r="R212" s="3"/>
      <c r="S212" s="3"/>
    </row>
    <row r="213" spans="1:19" ht="15.5" hidden="1" outlineLevel="3" x14ac:dyDescent="0.35">
      <c r="A213" s="185" t="s">
        <v>98</v>
      </c>
      <c r="B213" s="193">
        <v>0</v>
      </c>
      <c r="C213" s="193">
        <v>0</v>
      </c>
      <c r="D213" s="193">
        <v>1</v>
      </c>
      <c r="E213" s="193"/>
      <c r="F213" s="193">
        <v>2</v>
      </c>
      <c r="G213" s="193">
        <v>4</v>
      </c>
      <c r="H213" s="239">
        <f t="shared" si="28"/>
        <v>7</v>
      </c>
      <c r="K213" s="3"/>
      <c r="L213" s="3"/>
      <c r="M213" s="3"/>
      <c r="N213" s="3"/>
      <c r="O213" s="3"/>
      <c r="P213" s="3"/>
      <c r="Q213" s="3"/>
      <c r="R213" s="3"/>
      <c r="S213" s="3"/>
    </row>
    <row r="214" spans="1:19" ht="15.5" hidden="1" outlineLevel="3" x14ac:dyDescent="0.35">
      <c r="A214" s="185" t="s">
        <v>99</v>
      </c>
      <c r="B214" s="193">
        <v>0</v>
      </c>
      <c r="C214" s="193">
        <v>0</v>
      </c>
      <c r="D214" s="193">
        <v>0</v>
      </c>
      <c r="E214" s="193"/>
      <c r="F214" s="193">
        <v>0</v>
      </c>
      <c r="G214" s="193">
        <v>0</v>
      </c>
      <c r="H214" s="239">
        <f t="shared" si="28"/>
        <v>0</v>
      </c>
      <c r="K214" s="3"/>
      <c r="L214" s="3"/>
      <c r="M214" s="3"/>
      <c r="N214" s="3"/>
      <c r="O214" s="3"/>
      <c r="P214" s="3"/>
      <c r="Q214" s="3"/>
      <c r="R214" s="3"/>
      <c r="S214" s="3"/>
    </row>
    <row r="215" spans="1:19" ht="15.5" hidden="1" outlineLevel="3" x14ac:dyDescent="0.35">
      <c r="A215" s="185" t="s">
        <v>100</v>
      </c>
      <c r="B215" s="193"/>
      <c r="C215" s="193">
        <v>0</v>
      </c>
      <c r="D215" s="193"/>
      <c r="E215" s="193"/>
      <c r="F215" s="193">
        <v>3</v>
      </c>
      <c r="G215" s="193"/>
      <c r="H215" s="239">
        <f t="shared" si="28"/>
        <v>3</v>
      </c>
      <c r="K215" s="3"/>
      <c r="L215" s="3"/>
      <c r="M215" s="3"/>
      <c r="N215" s="3"/>
      <c r="O215" s="3"/>
      <c r="P215" s="3"/>
      <c r="Q215" s="3"/>
      <c r="R215" s="3"/>
      <c r="S215" s="3"/>
    </row>
    <row r="216" spans="1:19" ht="15.5" hidden="1" outlineLevel="3" x14ac:dyDescent="0.35">
      <c r="A216" s="185" t="s">
        <v>101</v>
      </c>
      <c r="B216" s="193"/>
      <c r="C216" s="193"/>
      <c r="D216" s="193"/>
      <c r="E216" s="193"/>
      <c r="F216" s="193"/>
      <c r="G216" s="193"/>
      <c r="H216" s="239">
        <f t="shared" si="28"/>
        <v>0</v>
      </c>
      <c r="K216" s="3"/>
      <c r="L216" s="3"/>
      <c r="M216" s="3"/>
      <c r="N216" s="3"/>
      <c r="O216" s="3"/>
      <c r="P216" s="3"/>
      <c r="Q216" s="3"/>
      <c r="R216" s="3"/>
      <c r="S216" s="3"/>
    </row>
    <row r="217" spans="1:19" ht="15.5" hidden="1" outlineLevel="3" x14ac:dyDescent="0.35">
      <c r="A217" s="185" t="s">
        <v>102</v>
      </c>
      <c r="B217" s="193"/>
      <c r="C217" s="193"/>
      <c r="D217" s="193"/>
      <c r="E217" s="193"/>
      <c r="F217" s="193"/>
      <c r="G217" s="193"/>
      <c r="H217" s="239">
        <f t="shared" si="28"/>
        <v>0</v>
      </c>
      <c r="K217" s="3"/>
      <c r="L217" s="3"/>
      <c r="M217" s="3"/>
      <c r="N217" s="3"/>
      <c r="O217" s="3"/>
      <c r="P217" s="3"/>
      <c r="Q217" s="3"/>
      <c r="R217" s="3"/>
      <c r="S217" s="3"/>
    </row>
    <row r="218" spans="1:19" ht="15" hidden="1" outlineLevel="3" x14ac:dyDescent="0.35">
      <c r="A218" s="241" t="s">
        <v>265</v>
      </c>
      <c r="B218" s="240">
        <f>SUM(B212:B217)</f>
        <v>2</v>
      </c>
      <c r="C218" s="240">
        <f t="shared" ref="C218:H218" si="29">SUM(C212:C217)</f>
        <v>0</v>
      </c>
      <c r="D218" s="240">
        <f t="shared" si="29"/>
        <v>1</v>
      </c>
      <c r="E218" s="240">
        <f t="shared" si="29"/>
        <v>0</v>
      </c>
      <c r="F218" s="240">
        <f t="shared" si="29"/>
        <v>5</v>
      </c>
      <c r="G218" s="240">
        <f t="shared" si="29"/>
        <v>6</v>
      </c>
      <c r="H218" s="240">
        <f t="shared" si="29"/>
        <v>14</v>
      </c>
      <c r="K218" s="3"/>
      <c r="L218" s="3"/>
      <c r="M218" s="3"/>
      <c r="N218" s="3"/>
      <c r="O218" s="3"/>
      <c r="P218" s="3"/>
      <c r="Q218" s="3"/>
      <c r="R218" s="3"/>
      <c r="S218" s="3"/>
    </row>
    <row r="219" spans="1:19" ht="18.5" hidden="1" outlineLevel="2" collapsed="1" x14ac:dyDescent="0.45">
      <c r="A219" s="194" t="s">
        <v>266</v>
      </c>
      <c r="B219" s="194"/>
      <c r="C219" s="194"/>
      <c r="D219" s="194"/>
      <c r="E219" s="197">
        <f>H227</f>
        <v>2</v>
      </c>
      <c r="F219" s="194"/>
      <c r="G219" s="194"/>
      <c r="H219" s="194"/>
      <c r="K219" s="3"/>
      <c r="L219" s="3"/>
      <c r="M219" s="3"/>
      <c r="N219" s="3"/>
      <c r="O219" s="3"/>
      <c r="P219" s="3"/>
      <c r="Q219" s="3"/>
      <c r="R219" s="3"/>
      <c r="S219" s="3"/>
    </row>
    <row r="220" spans="1:19" ht="29.75" hidden="1" customHeight="1" outlineLevel="3" x14ac:dyDescent="0.35">
      <c r="A220" s="195" t="s">
        <v>262</v>
      </c>
      <c r="B220" s="196" t="s">
        <v>117</v>
      </c>
      <c r="C220" s="196" t="s">
        <v>118</v>
      </c>
      <c r="D220" s="196" t="s">
        <v>119</v>
      </c>
      <c r="E220" s="196" t="s">
        <v>120</v>
      </c>
      <c r="F220" s="196" t="s">
        <v>121</v>
      </c>
      <c r="G220" s="196" t="s">
        <v>122</v>
      </c>
      <c r="H220" s="239" t="s">
        <v>241</v>
      </c>
      <c r="K220" s="3"/>
      <c r="L220" s="3"/>
      <c r="M220" s="3"/>
      <c r="N220" s="3"/>
      <c r="O220" s="3"/>
      <c r="P220" s="3"/>
      <c r="Q220" s="3"/>
      <c r="R220" s="3"/>
      <c r="S220" s="3"/>
    </row>
    <row r="221" spans="1:19" ht="15.5" hidden="1" outlineLevel="3" x14ac:dyDescent="0.35">
      <c r="A221" s="185" t="s">
        <v>97</v>
      </c>
      <c r="B221" s="193">
        <f t="shared" ref="B221:G226" si="30">B212-B203</f>
        <v>0</v>
      </c>
      <c r="C221" s="193">
        <f t="shared" si="30"/>
        <v>0</v>
      </c>
      <c r="D221" s="193">
        <f t="shared" si="30"/>
        <v>0</v>
      </c>
      <c r="E221" s="193">
        <f t="shared" si="30"/>
        <v>0</v>
      </c>
      <c r="F221" s="193">
        <f t="shared" si="30"/>
        <v>0</v>
      </c>
      <c r="G221" s="193">
        <f t="shared" si="30"/>
        <v>0</v>
      </c>
      <c r="H221" s="239">
        <f t="shared" ref="H221:H226" si="31">SUM(B221:G221)</f>
        <v>0</v>
      </c>
      <c r="K221" s="3"/>
      <c r="L221" s="3"/>
      <c r="M221" s="3"/>
      <c r="N221" s="3"/>
      <c r="O221" s="3"/>
      <c r="P221" s="3"/>
      <c r="Q221" s="3"/>
      <c r="R221" s="3"/>
      <c r="S221" s="3"/>
    </row>
    <row r="222" spans="1:19" ht="15.5" hidden="1" outlineLevel="3" x14ac:dyDescent="0.35">
      <c r="A222" s="185" t="s">
        <v>98</v>
      </c>
      <c r="B222" s="193">
        <f t="shared" si="30"/>
        <v>0</v>
      </c>
      <c r="C222" s="193">
        <f t="shared" si="30"/>
        <v>0</v>
      </c>
      <c r="D222" s="193">
        <f t="shared" si="30"/>
        <v>-1</v>
      </c>
      <c r="E222" s="193">
        <f t="shared" si="30"/>
        <v>0</v>
      </c>
      <c r="F222" s="193">
        <f t="shared" si="30"/>
        <v>0</v>
      </c>
      <c r="G222" s="193">
        <f t="shared" si="30"/>
        <v>2</v>
      </c>
      <c r="H222" s="239">
        <f t="shared" si="31"/>
        <v>1</v>
      </c>
      <c r="K222" s="3"/>
      <c r="L222" s="3"/>
      <c r="M222" s="3"/>
      <c r="N222" s="3"/>
      <c r="O222" s="3"/>
      <c r="P222" s="3"/>
      <c r="Q222" s="3"/>
      <c r="R222" s="3"/>
      <c r="S222" s="3"/>
    </row>
    <row r="223" spans="1:19" ht="15.5" hidden="1" outlineLevel="3" x14ac:dyDescent="0.35">
      <c r="A223" s="185" t="s">
        <v>99</v>
      </c>
      <c r="B223" s="193">
        <f t="shared" si="30"/>
        <v>0</v>
      </c>
      <c r="C223" s="193">
        <f t="shared" si="30"/>
        <v>0</v>
      </c>
      <c r="D223" s="193">
        <f t="shared" si="30"/>
        <v>0</v>
      </c>
      <c r="E223" s="193">
        <f t="shared" si="30"/>
        <v>0</v>
      </c>
      <c r="F223" s="193">
        <f t="shared" si="30"/>
        <v>0</v>
      </c>
      <c r="G223" s="193">
        <f t="shared" si="30"/>
        <v>0</v>
      </c>
      <c r="H223" s="239">
        <f t="shared" si="31"/>
        <v>0</v>
      </c>
      <c r="K223" s="3"/>
      <c r="L223" s="3"/>
      <c r="M223" s="3"/>
      <c r="N223" s="3"/>
      <c r="O223" s="3"/>
      <c r="P223" s="3"/>
      <c r="Q223" s="3"/>
      <c r="R223" s="3"/>
      <c r="S223" s="3"/>
    </row>
    <row r="224" spans="1:19" ht="15.5" hidden="1" outlineLevel="3" x14ac:dyDescent="0.35">
      <c r="A224" s="185" t="s">
        <v>100</v>
      </c>
      <c r="B224" s="193">
        <f t="shared" si="30"/>
        <v>0</v>
      </c>
      <c r="C224" s="193">
        <f t="shared" si="30"/>
        <v>0</v>
      </c>
      <c r="D224" s="193">
        <f t="shared" si="30"/>
        <v>0</v>
      </c>
      <c r="E224" s="193">
        <f t="shared" si="30"/>
        <v>0</v>
      </c>
      <c r="F224" s="193">
        <f t="shared" si="30"/>
        <v>1</v>
      </c>
      <c r="G224" s="193">
        <f t="shared" si="30"/>
        <v>0</v>
      </c>
      <c r="H224" s="239">
        <f t="shared" si="31"/>
        <v>1</v>
      </c>
      <c r="K224" s="3"/>
      <c r="L224" s="3"/>
      <c r="M224" s="3"/>
      <c r="N224" s="3"/>
      <c r="O224" s="3"/>
      <c r="P224" s="3"/>
      <c r="Q224" s="3"/>
      <c r="R224" s="3"/>
      <c r="S224" s="3"/>
    </row>
    <row r="225" spans="1:19" ht="15.5" hidden="1" outlineLevel="3" x14ac:dyDescent="0.35">
      <c r="A225" s="185" t="s">
        <v>101</v>
      </c>
      <c r="B225" s="193">
        <f t="shared" si="30"/>
        <v>0</v>
      </c>
      <c r="C225" s="193">
        <f t="shared" si="30"/>
        <v>0</v>
      </c>
      <c r="D225" s="193">
        <f t="shared" si="30"/>
        <v>0</v>
      </c>
      <c r="E225" s="193">
        <f t="shared" si="30"/>
        <v>0</v>
      </c>
      <c r="F225" s="193">
        <f t="shared" si="30"/>
        <v>0</v>
      </c>
      <c r="G225" s="193">
        <f t="shared" si="30"/>
        <v>0</v>
      </c>
      <c r="H225" s="239">
        <f t="shared" si="31"/>
        <v>0</v>
      </c>
      <c r="K225" s="3"/>
      <c r="L225" s="3"/>
      <c r="M225" s="3"/>
      <c r="N225" s="3"/>
      <c r="O225" s="3"/>
      <c r="P225" s="3"/>
      <c r="Q225" s="3"/>
      <c r="R225" s="3"/>
      <c r="S225" s="3"/>
    </row>
    <row r="226" spans="1:19" ht="15.5" hidden="1" outlineLevel="3" x14ac:dyDescent="0.35">
      <c r="A226" s="185" t="s">
        <v>102</v>
      </c>
      <c r="B226" s="193">
        <f t="shared" si="30"/>
        <v>0</v>
      </c>
      <c r="C226" s="193">
        <f t="shared" si="30"/>
        <v>0</v>
      </c>
      <c r="D226" s="193">
        <f t="shared" si="30"/>
        <v>0</v>
      </c>
      <c r="E226" s="193">
        <f t="shared" si="30"/>
        <v>0</v>
      </c>
      <c r="F226" s="193">
        <f t="shared" si="30"/>
        <v>0</v>
      </c>
      <c r="G226" s="193">
        <f t="shared" si="30"/>
        <v>0</v>
      </c>
      <c r="H226" s="239">
        <f t="shared" si="31"/>
        <v>0</v>
      </c>
      <c r="K226" s="3"/>
      <c r="L226" s="3"/>
      <c r="M226" s="3"/>
      <c r="N226" s="3"/>
      <c r="O226" s="3"/>
      <c r="P226" s="3"/>
      <c r="Q226" s="3"/>
      <c r="R226" s="3"/>
      <c r="S226" s="3"/>
    </row>
    <row r="227" spans="1:19" ht="15" hidden="1" outlineLevel="3" x14ac:dyDescent="0.35">
      <c r="A227" s="241" t="s">
        <v>267</v>
      </c>
      <c r="B227" s="240">
        <f>SUM(B221:B226)</f>
        <v>0</v>
      </c>
      <c r="C227" s="240">
        <f t="shared" ref="C227:H227" si="32">SUM(C221:C226)</f>
        <v>0</v>
      </c>
      <c r="D227" s="240">
        <f t="shared" si="32"/>
        <v>-1</v>
      </c>
      <c r="E227" s="240">
        <f t="shared" si="32"/>
        <v>0</v>
      </c>
      <c r="F227" s="240">
        <f t="shared" si="32"/>
        <v>1</v>
      </c>
      <c r="G227" s="240">
        <f t="shared" si="32"/>
        <v>2</v>
      </c>
      <c r="H227" s="240">
        <f t="shared" si="32"/>
        <v>2</v>
      </c>
      <c r="K227" s="3"/>
      <c r="L227" s="3"/>
      <c r="M227" s="3"/>
      <c r="N227" s="3"/>
      <c r="O227" s="3"/>
      <c r="P227" s="3"/>
      <c r="Q227" s="3"/>
      <c r="R227" s="3"/>
      <c r="S227" s="3"/>
    </row>
    <row r="228" spans="1:19" hidden="1" outlineLevel="2" x14ac:dyDescent="0.35"/>
    <row r="229" spans="1:19" hidden="1" outlineLevel="1" x14ac:dyDescent="0.35"/>
    <row r="230" spans="1:19" ht="18.75" hidden="1" customHeight="1" outlineLevel="1" x14ac:dyDescent="0.45">
      <c r="A230" s="400" t="s">
        <v>268</v>
      </c>
      <c r="B230" s="400"/>
      <c r="C230" s="400"/>
      <c r="D230" s="400"/>
      <c r="E230" s="184">
        <f>H257</f>
        <v>4</v>
      </c>
      <c r="I230"/>
      <c r="K230" s="3"/>
      <c r="L230" s="3"/>
      <c r="M230" s="3"/>
      <c r="N230" s="3"/>
      <c r="O230" s="3"/>
      <c r="P230" s="3"/>
      <c r="Q230" s="3"/>
      <c r="R230" s="3"/>
      <c r="S230" s="3"/>
    </row>
    <row r="231" spans="1:19" ht="18.5" hidden="1" outlineLevel="2" collapsed="1" x14ac:dyDescent="0.45">
      <c r="A231" s="194" t="s">
        <v>261</v>
      </c>
      <c r="B231" s="194"/>
      <c r="C231" s="194"/>
      <c r="D231" s="194"/>
      <c r="E231" s="197">
        <f>H239</f>
        <v>12</v>
      </c>
      <c r="F231" s="194"/>
      <c r="G231" s="194"/>
      <c r="H231" s="194"/>
      <c r="K231" s="3"/>
      <c r="L231" s="3"/>
      <c r="M231" s="3"/>
      <c r="N231" s="3"/>
      <c r="O231" s="3"/>
      <c r="P231" s="3"/>
      <c r="Q231" s="3"/>
      <c r="R231" s="3"/>
      <c r="S231" s="3"/>
    </row>
    <row r="232" spans="1:19" ht="29.75" hidden="1" customHeight="1" outlineLevel="3" x14ac:dyDescent="0.35">
      <c r="A232" s="195" t="s">
        <v>262</v>
      </c>
      <c r="B232" s="196" t="s">
        <v>117</v>
      </c>
      <c r="C232" s="196" t="s">
        <v>118</v>
      </c>
      <c r="D232" s="196" t="s">
        <v>119</v>
      </c>
      <c r="E232" s="196" t="s">
        <v>120</v>
      </c>
      <c r="F232" s="196" t="s">
        <v>121</v>
      </c>
      <c r="G232" s="196" t="s">
        <v>122</v>
      </c>
      <c r="H232" s="239" t="s">
        <v>241</v>
      </c>
      <c r="K232" s="3"/>
      <c r="L232" s="3"/>
      <c r="M232" s="3"/>
      <c r="N232" s="3"/>
      <c r="O232" s="3"/>
      <c r="P232" s="3"/>
      <c r="Q232" s="3"/>
      <c r="R232" s="3"/>
      <c r="S232" s="3"/>
    </row>
    <row r="233" spans="1:19" ht="15.5" hidden="1" outlineLevel="3" x14ac:dyDescent="0.35">
      <c r="A233" s="185" t="s">
        <v>269</v>
      </c>
      <c r="B233" s="193">
        <v>2</v>
      </c>
      <c r="C233" s="193">
        <v>0</v>
      </c>
      <c r="D233" s="193">
        <v>0</v>
      </c>
      <c r="E233" s="193">
        <v>0</v>
      </c>
      <c r="F233" s="193">
        <v>0</v>
      </c>
      <c r="G233" s="193">
        <v>2</v>
      </c>
      <c r="H233" s="239">
        <f t="shared" ref="H233:H238" si="33">SUM(B233:G233)</f>
        <v>4</v>
      </c>
      <c r="K233" s="3"/>
      <c r="L233" s="3"/>
      <c r="M233" s="3"/>
      <c r="N233" s="3"/>
      <c r="O233" s="3"/>
      <c r="P233" s="3"/>
      <c r="Q233" s="3"/>
      <c r="R233" s="3"/>
      <c r="S233" s="3"/>
    </row>
    <row r="234" spans="1:19" ht="15.5" hidden="1" outlineLevel="3" x14ac:dyDescent="0.35">
      <c r="A234" s="185" t="s">
        <v>270</v>
      </c>
      <c r="B234" s="193">
        <v>0</v>
      </c>
      <c r="C234" s="193">
        <v>0</v>
      </c>
      <c r="D234" s="193">
        <v>2</v>
      </c>
      <c r="E234" s="193"/>
      <c r="F234" s="193">
        <v>2</v>
      </c>
      <c r="G234" s="193">
        <v>2</v>
      </c>
      <c r="H234" s="239">
        <f t="shared" si="33"/>
        <v>6</v>
      </c>
      <c r="K234" s="3"/>
      <c r="L234" s="3"/>
      <c r="M234" s="3"/>
      <c r="N234" s="3"/>
      <c r="O234" s="3"/>
      <c r="P234" s="3"/>
      <c r="Q234" s="3"/>
      <c r="R234" s="3"/>
      <c r="S234" s="3"/>
    </row>
    <row r="235" spans="1:19" ht="15.5" hidden="1" outlineLevel="3" x14ac:dyDescent="0.35">
      <c r="A235" s="185" t="s">
        <v>271</v>
      </c>
      <c r="B235" s="193">
        <v>0</v>
      </c>
      <c r="C235" s="193">
        <v>0</v>
      </c>
      <c r="D235" s="193">
        <v>0</v>
      </c>
      <c r="E235" s="193"/>
      <c r="F235" s="193">
        <v>0</v>
      </c>
      <c r="G235" s="193">
        <v>0</v>
      </c>
      <c r="H235" s="239">
        <f t="shared" si="33"/>
        <v>0</v>
      </c>
      <c r="K235" s="3"/>
      <c r="L235" s="3"/>
      <c r="M235" s="3"/>
      <c r="N235" s="3"/>
      <c r="O235" s="3"/>
      <c r="P235" s="3"/>
      <c r="Q235" s="3"/>
      <c r="R235" s="3"/>
      <c r="S235" s="3"/>
    </row>
    <row r="236" spans="1:19" ht="15.5" hidden="1" outlineLevel="3" x14ac:dyDescent="0.35">
      <c r="A236" s="185" t="s">
        <v>272</v>
      </c>
      <c r="B236" s="193"/>
      <c r="C236" s="193">
        <v>0</v>
      </c>
      <c r="D236" s="193"/>
      <c r="E236" s="193"/>
      <c r="F236" s="193">
        <v>2</v>
      </c>
      <c r="G236" s="193"/>
      <c r="H236" s="239">
        <f t="shared" si="33"/>
        <v>2</v>
      </c>
      <c r="K236" s="3"/>
      <c r="L236" s="3"/>
      <c r="M236" s="3"/>
      <c r="N236" s="3"/>
      <c r="O236" s="3"/>
      <c r="P236" s="3"/>
      <c r="Q236" s="3"/>
      <c r="R236" s="3"/>
      <c r="S236" s="3"/>
    </row>
    <row r="237" spans="1:19" ht="15.5" hidden="1" outlineLevel="3" x14ac:dyDescent="0.35">
      <c r="A237" s="185" t="s">
        <v>273</v>
      </c>
      <c r="B237" s="193"/>
      <c r="C237" s="193"/>
      <c r="D237" s="193"/>
      <c r="E237" s="193"/>
      <c r="F237" s="193"/>
      <c r="G237" s="193"/>
      <c r="H237" s="239">
        <f t="shared" si="33"/>
        <v>0</v>
      </c>
      <c r="K237" s="3"/>
      <c r="L237" s="3"/>
      <c r="M237" s="3"/>
      <c r="N237" s="3"/>
      <c r="O237" s="3"/>
      <c r="P237" s="3"/>
      <c r="Q237" s="3"/>
      <c r="R237" s="3"/>
      <c r="S237" s="3"/>
    </row>
    <row r="238" spans="1:19" ht="15.5" hidden="1" outlineLevel="3" x14ac:dyDescent="0.35">
      <c r="A238" s="185" t="s">
        <v>274</v>
      </c>
      <c r="B238" s="193"/>
      <c r="C238" s="193"/>
      <c r="D238" s="193"/>
      <c r="E238" s="193"/>
      <c r="F238" s="193"/>
      <c r="G238" s="193"/>
      <c r="H238" s="239">
        <f t="shared" si="33"/>
        <v>0</v>
      </c>
      <c r="K238" s="3"/>
      <c r="L238" s="3"/>
      <c r="M238" s="3"/>
      <c r="N238" s="3"/>
      <c r="O238" s="3"/>
      <c r="P238" s="3"/>
      <c r="Q238" s="3"/>
      <c r="R238" s="3"/>
      <c r="S238" s="3"/>
    </row>
    <row r="239" spans="1:19" ht="15" hidden="1" outlineLevel="3" x14ac:dyDescent="0.35">
      <c r="A239" s="241" t="s">
        <v>263</v>
      </c>
      <c r="B239" s="240">
        <f>SUM(B233:B238)</f>
        <v>2</v>
      </c>
      <c r="C239" s="240">
        <f t="shared" ref="C239:H239" si="34">SUM(C233:C238)</f>
        <v>0</v>
      </c>
      <c r="D239" s="240">
        <f t="shared" si="34"/>
        <v>2</v>
      </c>
      <c r="E239" s="240">
        <f t="shared" si="34"/>
        <v>0</v>
      </c>
      <c r="F239" s="240">
        <f t="shared" si="34"/>
        <v>4</v>
      </c>
      <c r="G239" s="240">
        <f t="shared" si="34"/>
        <v>4</v>
      </c>
      <c r="H239" s="240">
        <f t="shared" si="34"/>
        <v>12</v>
      </c>
      <c r="K239" s="3"/>
      <c r="L239" s="3"/>
      <c r="M239" s="3"/>
      <c r="N239" s="3"/>
      <c r="O239" s="3"/>
      <c r="P239" s="3"/>
      <c r="Q239" s="3"/>
      <c r="R239" s="3"/>
      <c r="S239" s="3"/>
    </row>
    <row r="240" spans="1:19" ht="18.5" hidden="1" outlineLevel="2" collapsed="1" x14ac:dyDescent="0.45">
      <c r="A240" s="194" t="s">
        <v>264</v>
      </c>
      <c r="B240" s="194"/>
      <c r="C240" s="194"/>
      <c r="D240" s="194"/>
      <c r="E240" s="197">
        <f>H248</f>
        <v>16</v>
      </c>
      <c r="F240" s="194"/>
      <c r="G240" s="194"/>
      <c r="H240" s="194"/>
      <c r="K240" s="3"/>
      <c r="L240" s="3"/>
      <c r="M240" s="3"/>
      <c r="N240" s="3"/>
      <c r="O240" s="3"/>
      <c r="P240" s="3"/>
      <c r="Q240" s="3"/>
      <c r="R240" s="3"/>
      <c r="S240" s="3"/>
    </row>
    <row r="241" spans="1:19" ht="29.75" hidden="1" customHeight="1" outlineLevel="3" x14ac:dyDescent="0.35">
      <c r="A241" s="195" t="s">
        <v>262</v>
      </c>
      <c r="B241" s="196" t="s">
        <v>117</v>
      </c>
      <c r="C241" s="196" t="s">
        <v>118</v>
      </c>
      <c r="D241" s="196" t="s">
        <v>119</v>
      </c>
      <c r="E241" s="196" t="s">
        <v>120</v>
      </c>
      <c r="F241" s="196" t="s">
        <v>121</v>
      </c>
      <c r="G241" s="196" t="s">
        <v>122</v>
      </c>
      <c r="H241" s="239" t="s">
        <v>241</v>
      </c>
      <c r="K241" s="3"/>
      <c r="L241" s="3"/>
      <c r="M241" s="3"/>
      <c r="N241" s="3"/>
      <c r="O241" s="3"/>
      <c r="P241" s="3"/>
      <c r="Q241" s="3"/>
      <c r="R241" s="3"/>
      <c r="S241" s="3"/>
    </row>
    <row r="242" spans="1:19" ht="15.5" hidden="1" outlineLevel="3" x14ac:dyDescent="0.35">
      <c r="A242" s="185" t="s">
        <v>269</v>
      </c>
      <c r="B242" s="193">
        <v>2</v>
      </c>
      <c r="C242" s="193">
        <v>0</v>
      </c>
      <c r="D242" s="193">
        <v>0</v>
      </c>
      <c r="E242" s="193">
        <v>0</v>
      </c>
      <c r="F242" s="193">
        <v>0</v>
      </c>
      <c r="G242" s="193">
        <v>2</v>
      </c>
      <c r="H242" s="239">
        <f t="shared" ref="H242:H247" si="35">SUM(B242:G242)</f>
        <v>4</v>
      </c>
      <c r="K242" s="3"/>
      <c r="L242" s="3"/>
      <c r="M242" s="3"/>
      <c r="N242" s="3"/>
      <c r="O242" s="3"/>
      <c r="P242" s="3"/>
      <c r="Q242" s="3"/>
      <c r="R242" s="3"/>
      <c r="S242" s="3"/>
    </row>
    <row r="243" spans="1:19" ht="15.5" hidden="1" outlineLevel="3" x14ac:dyDescent="0.35">
      <c r="A243" s="185" t="s">
        <v>270</v>
      </c>
      <c r="B243" s="193">
        <v>0</v>
      </c>
      <c r="C243" s="193">
        <v>0</v>
      </c>
      <c r="D243" s="193">
        <v>1</v>
      </c>
      <c r="E243" s="193"/>
      <c r="F243" s="193">
        <v>2</v>
      </c>
      <c r="G243" s="193">
        <v>6</v>
      </c>
      <c r="H243" s="239">
        <f t="shared" si="35"/>
        <v>9</v>
      </c>
      <c r="K243" s="3"/>
      <c r="L243" s="3"/>
      <c r="M243" s="3"/>
      <c r="N243" s="3"/>
      <c r="O243" s="3"/>
      <c r="P243" s="3"/>
      <c r="Q243" s="3"/>
      <c r="R243" s="3"/>
      <c r="S243" s="3"/>
    </row>
    <row r="244" spans="1:19" ht="15.5" hidden="1" outlineLevel="3" x14ac:dyDescent="0.35">
      <c r="A244" s="185" t="s">
        <v>271</v>
      </c>
      <c r="B244" s="193">
        <v>0</v>
      </c>
      <c r="C244" s="193">
        <v>0</v>
      </c>
      <c r="D244" s="193">
        <v>0</v>
      </c>
      <c r="E244" s="193"/>
      <c r="F244" s="193">
        <v>0</v>
      </c>
      <c r="G244" s="193">
        <v>0</v>
      </c>
      <c r="H244" s="239">
        <f t="shared" si="35"/>
        <v>0</v>
      </c>
      <c r="K244" s="3"/>
      <c r="L244" s="3"/>
      <c r="M244" s="3"/>
      <c r="N244" s="3"/>
      <c r="O244" s="3"/>
      <c r="P244" s="3"/>
      <c r="Q244" s="3"/>
      <c r="R244" s="3"/>
      <c r="S244" s="3"/>
    </row>
    <row r="245" spans="1:19" ht="15.5" hidden="1" outlineLevel="3" x14ac:dyDescent="0.35">
      <c r="A245" s="185" t="s">
        <v>272</v>
      </c>
      <c r="B245" s="193"/>
      <c r="C245" s="193">
        <v>0</v>
      </c>
      <c r="D245" s="193"/>
      <c r="E245" s="193"/>
      <c r="F245" s="193">
        <v>3</v>
      </c>
      <c r="G245" s="193"/>
      <c r="H245" s="239">
        <f t="shared" si="35"/>
        <v>3</v>
      </c>
      <c r="K245" s="3"/>
      <c r="L245" s="3"/>
      <c r="M245" s="3"/>
      <c r="N245" s="3"/>
      <c r="O245" s="3"/>
      <c r="P245" s="3"/>
      <c r="Q245" s="3"/>
      <c r="R245" s="3"/>
      <c r="S245" s="3"/>
    </row>
    <row r="246" spans="1:19" ht="15.5" hidden="1" outlineLevel="3" x14ac:dyDescent="0.35">
      <c r="A246" s="185" t="s">
        <v>273</v>
      </c>
      <c r="B246" s="193"/>
      <c r="C246" s="193"/>
      <c r="D246" s="193"/>
      <c r="E246" s="193"/>
      <c r="F246" s="193"/>
      <c r="G246" s="193"/>
      <c r="H246" s="239">
        <f t="shared" si="35"/>
        <v>0</v>
      </c>
      <c r="K246" s="3"/>
      <c r="L246" s="3"/>
      <c r="M246" s="3"/>
      <c r="N246" s="3"/>
      <c r="O246" s="3"/>
      <c r="P246" s="3"/>
      <c r="Q246" s="3"/>
      <c r="R246" s="3"/>
      <c r="S246" s="3"/>
    </row>
    <row r="247" spans="1:19" ht="15.5" hidden="1" outlineLevel="3" x14ac:dyDescent="0.35">
      <c r="A247" s="185" t="s">
        <v>274</v>
      </c>
      <c r="B247" s="193"/>
      <c r="C247" s="193"/>
      <c r="D247" s="193"/>
      <c r="E247" s="193"/>
      <c r="F247" s="193"/>
      <c r="G247" s="193"/>
      <c r="H247" s="239">
        <f t="shared" si="35"/>
        <v>0</v>
      </c>
      <c r="K247" s="3"/>
      <c r="L247" s="3"/>
      <c r="M247" s="3"/>
      <c r="N247" s="3"/>
      <c r="O247" s="3"/>
      <c r="P247" s="3"/>
      <c r="Q247" s="3"/>
      <c r="R247" s="3"/>
      <c r="S247" s="3"/>
    </row>
    <row r="248" spans="1:19" ht="15" hidden="1" outlineLevel="3" x14ac:dyDescent="0.35">
      <c r="A248" s="241" t="s">
        <v>265</v>
      </c>
      <c r="B248" s="240">
        <f>SUM(B242:B247)</f>
        <v>2</v>
      </c>
      <c r="C248" s="240">
        <f t="shared" ref="C248:H248" si="36">SUM(C242:C247)</f>
        <v>0</v>
      </c>
      <c r="D248" s="240">
        <f t="shared" si="36"/>
        <v>1</v>
      </c>
      <c r="E248" s="240">
        <f t="shared" si="36"/>
        <v>0</v>
      </c>
      <c r="F248" s="240">
        <f t="shared" si="36"/>
        <v>5</v>
      </c>
      <c r="G248" s="240">
        <f t="shared" si="36"/>
        <v>8</v>
      </c>
      <c r="H248" s="240">
        <f t="shared" si="36"/>
        <v>16</v>
      </c>
      <c r="K248" s="3"/>
      <c r="L248" s="3"/>
      <c r="M248" s="3"/>
      <c r="N248" s="3"/>
      <c r="O248" s="3"/>
      <c r="P248" s="3"/>
      <c r="Q248" s="3"/>
      <c r="R248" s="3"/>
      <c r="S248" s="3"/>
    </row>
    <row r="249" spans="1:19" ht="18.5" hidden="1" outlineLevel="2" collapsed="1" x14ac:dyDescent="0.45">
      <c r="A249" s="194" t="s">
        <v>266</v>
      </c>
      <c r="B249" s="194"/>
      <c r="C249" s="194"/>
      <c r="D249" s="194"/>
      <c r="E249" s="197">
        <f>H257</f>
        <v>4</v>
      </c>
      <c r="F249" s="194"/>
      <c r="G249" s="194"/>
      <c r="H249" s="194"/>
      <c r="K249" s="3"/>
      <c r="L249" s="3"/>
      <c r="M249" s="3"/>
      <c r="N249" s="3"/>
      <c r="O249" s="3"/>
      <c r="P249" s="3"/>
      <c r="Q249" s="3"/>
      <c r="R249" s="3"/>
      <c r="S249" s="3"/>
    </row>
    <row r="250" spans="1:19" ht="29.75" hidden="1" customHeight="1" outlineLevel="3" x14ac:dyDescent="0.35">
      <c r="A250" s="195" t="s">
        <v>262</v>
      </c>
      <c r="B250" s="196" t="s">
        <v>117</v>
      </c>
      <c r="C250" s="196" t="s">
        <v>118</v>
      </c>
      <c r="D250" s="196" t="s">
        <v>119</v>
      </c>
      <c r="E250" s="196" t="s">
        <v>120</v>
      </c>
      <c r="F250" s="196" t="s">
        <v>121</v>
      </c>
      <c r="G250" s="196" t="s">
        <v>122</v>
      </c>
      <c r="H250" s="239" t="s">
        <v>241</v>
      </c>
      <c r="K250" s="3"/>
      <c r="L250" s="3"/>
      <c r="M250" s="3"/>
      <c r="N250" s="3"/>
      <c r="O250" s="3"/>
      <c r="P250" s="3"/>
      <c r="Q250" s="3"/>
      <c r="R250" s="3"/>
      <c r="S250" s="3"/>
    </row>
    <row r="251" spans="1:19" ht="15.5" hidden="1" outlineLevel="3" x14ac:dyDescent="0.35">
      <c r="A251" s="185" t="s">
        <v>269</v>
      </c>
      <c r="B251" s="193">
        <f t="shared" ref="B251:G256" si="37">B242-B233</f>
        <v>0</v>
      </c>
      <c r="C251" s="193">
        <f t="shared" si="37"/>
        <v>0</v>
      </c>
      <c r="D251" s="193">
        <f t="shared" si="37"/>
        <v>0</v>
      </c>
      <c r="E251" s="193">
        <f t="shared" si="37"/>
        <v>0</v>
      </c>
      <c r="F251" s="193">
        <f t="shared" si="37"/>
        <v>0</v>
      </c>
      <c r="G251" s="193">
        <f t="shared" si="37"/>
        <v>0</v>
      </c>
      <c r="H251" s="239">
        <f t="shared" ref="H251:H256" si="38">SUM(B251:G251)</f>
        <v>0</v>
      </c>
      <c r="K251" s="3"/>
      <c r="L251" s="3"/>
      <c r="M251" s="3"/>
      <c r="N251" s="3"/>
      <c r="O251" s="3"/>
      <c r="P251" s="3"/>
      <c r="Q251" s="3"/>
      <c r="R251" s="3"/>
      <c r="S251" s="3"/>
    </row>
    <row r="252" spans="1:19" ht="15.5" hidden="1" outlineLevel="3" x14ac:dyDescent="0.35">
      <c r="A252" s="185" t="s">
        <v>270</v>
      </c>
      <c r="B252" s="193">
        <f t="shared" si="37"/>
        <v>0</v>
      </c>
      <c r="C252" s="193">
        <f t="shared" si="37"/>
        <v>0</v>
      </c>
      <c r="D252" s="193">
        <f t="shared" si="37"/>
        <v>-1</v>
      </c>
      <c r="E252" s="193">
        <f t="shared" si="37"/>
        <v>0</v>
      </c>
      <c r="F252" s="193">
        <f t="shared" si="37"/>
        <v>0</v>
      </c>
      <c r="G252" s="193">
        <f t="shared" si="37"/>
        <v>4</v>
      </c>
      <c r="H252" s="239">
        <f t="shared" si="38"/>
        <v>3</v>
      </c>
      <c r="K252" s="3"/>
      <c r="L252" s="3"/>
      <c r="M252" s="3"/>
      <c r="N252" s="3"/>
      <c r="O252" s="3"/>
      <c r="P252" s="3"/>
      <c r="Q252" s="3"/>
      <c r="R252" s="3"/>
      <c r="S252" s="3"/>
    </row>
    <row r="253" spans="1:19" ht="15.5" hidden="1" outlineLevel="3" x14ac:dyDescent="0.35">
      <c r="A253" s="185" t="s">
        <v>271</v>
      </c>
      <c r="B253" s="193">
        <f t="shared" si="37"/>
        <v>0</v>
      </c>
      <c r="C253" s="193">
        <f t="shared" si="37"/>
        <v>0</v>
      </c>
      <c r="D253" s="193">
        <f t="shared" si="37"/>
        <v>0</v>
      </c>
      <c r="E253" s="193">
        <f t="shared" si="37"/>
        <v>0</v>
      </c>
      <c r="F253" s="193">
        <f t="shared" si="37"/>
        <v>0</v>
      </c>
      <c r="G253" s="193">
        <f t="shared" si="37"/>
        <v>0</v>
      </c>
      <c r="H253" s="239">
        <f t="shared" si="38"/>
        <v>0</v>
      </c>
      <c r="K253" s="3"/>
      <c r="L253" s="3"/>
      <c r="M253" s="3"/>
      <c r="N253" s="3"/>
      <c r="O253" s="3"/>
      <c r="P253" s="3"/>
      <c r="Q253" s="3"/>
      <c r="R253" s="3"/>
      <c r="S253" s="3"/>
    </row>
    <row r="254" spans="1:19" ht="15.5" hidden="1" outlineLevel="3" x14ac:dyDescent="0.35">
      <c r="A254" s="185" t="s">
        <v>272</v>
      </c>
      <c r="B254" s="193">
        <f t="shared" si="37"/>
        <v>0</v>
      </c>
      <c r="C254" s="193">
        <f t="shared" si="37"/>
        <v>0</v>
      </c>
      <c r="D254" s="193">
        <f t="shared" si="37"/>
        <v>0</v>
      </c>
      <c r="E254" s="193">
        <f t="shared" si="37"/>
        <v>0</v>
      </c>
      <c r="F254" s="193">
        <f t="shared" si="37"/>
        <v>1</v>
      </c>
      <c r="G254" s="193">
        <f t="shared" si="37"/>
        <v>0</v>
      </c>
      <c r="H254" s="239">
        <f t="shared" si="38"/>
        <v>1</v>
      </c>
      <c r="K254" s="3"/>
      <c r="L254" s="3"/>
      <c r="M254" s="3"/>
      <c r="N254" s="3"/>
      <c r="O254" s="3"/>
      <c r="P254" s="3"/>
      <c r="Q254" s="3"/>
      <c r="R254" s="3"/>
      <c r="S254" s="3"/>
    </row>
    <row r="255" spans="1:19" ht="15.5" hidden="1" outlineLevel="3" x14ac:dyDescent="0.35">
      <c r="A255" s="185" t="s">
        <v>273</v>
      </c>
      <c r="B255" s="193">
        <f t="shared" si="37"/>
        <v>0</v>
      </c>
      <c r="C255" s="193">
        <f t="shared" si="37"/>
        <v>0</v>
      </c>
      <c r="D255" s="193">
        <f t="shared" si="37"/>
        <v>0</v>
      </c>
      <c r="E255" s="193">
        <f t="shared" si="37"/>
        <v>0</v>
      </c>
      <c r="F255" s="193">
        <f t="shared" si="37"/>
        <v>0</v>
      </c>
      <c r="G255" s="193">
        <f t="shared" si="37"/>
        <v>0</v>
      </c>
      <c r="H255" s="239">
        <f t="shared" si="38"/>
        <v>0</v>
      </c>
      <c r="K255" s="3"/>
      <c r="L255" s="3"/>
      <c r="M255" s="3"/>
      <c r="N255" s="3"/>
      <c r="O255" s="3"/>
      <c r="P255" s="3"/>
      <c r="Q255" s="3"/>
      <c r="R255" s="3"/>
      <c r="S255" s="3"/>
    </row>
    <row r="256" spans="1:19" ht="15.5" hidden="1" outlineLevel="3" x14ac:dyDescent="0.35">
      <c r="A256" s="185" t="s">
        <v>274</v>
      </c>
      <c r="B256" s="193">
        <f t="shared" si="37"/>
        <v>0</v>
      </c>
      <c r="C256" s="193">
        <f t="shared" si="37"/>
        <v>0</v>
      </c>
      <c r="D256" s="193">
        <f t="shared" si="37"/>
        <v>0</v>
      </c>
      <c r="E256" s="193">
        <f t="shared" si="37"/>
        <v>0</v>
      </c>
      <c r="F256" s="193">
        <f t="shared" si="37"/>
        <v>0</v>
      </c>
      <c r="G256" s="193">
        <f t="shared" si="37"/>
        <v>0</v>
      </c>
      <c r="H256" s="239">
        <f t="shared" si="38"/>
        <v>0</v>
      </c>
      <c r="K256" s="3"/>
      <c r="L256" s="3"/>
      <c r="M256" s="3"/>
      <c r="N256" s="3"/>
      <c r="O256" s="3"/>
      <c r="P256" s="3"/>
      <c r="Q256" s="3"/>
      <c r="R256" s="3"/>
      <c r="S256" s="3"/>
    </row>
    <row r="257" spans="1:19" ht="15" hidden="1" outlineLevel="3" x14ac:dyDescent="0.35">
      <c r="A257" s="241" t="s">
        <v>267</v>
      </c>
      <c r="B257" s="240">
        <f>SUM(B251:B256)</f>
        <v>0</v>
      </c>
      <c r="C257" s="240">
        <f t="shared" ref="C257:H257" si="39">SUM(C251:C256)</f>
        <v>0</v>
      </c>
      <c r="D257" s="240">
        <f t="shared" si="39"/>
        <v>-1</v>
      </c>
      <c r="E257" s="240">
        <f t="shared" si="39"/>
        <v>0</v>
      </c>
      <c r="F257" s="240">
        <f t="shared" si="39"/>
        <v>1</v>
      </c>
      <c r="G257" s="240">
        <f t="shared" si="39"/>
        <v>4</v>
      </c>
      <c r="H257" s="240">
        <f t="shared" si="39"/>
        <v>4</v>
      </c>
      <c r="K257" s="3"/>
      <c r="L257" s="3"/>
      <c r="M257" s="3"/>
      <c r="N257" s="3"/>
      <c r="O257" s="3"/>
      <c r="P257" s="3"/>
      <c r="Q257" s="3"/>
      <c r="R257" s="3"/>
      <c r="S257" s="3"/>
    </row>
    <row r="258" spans="1:19" hidden="1" outlineLevel="2" x14ac:dyDescent="0.35"/>
    <row r="259" spans="1:19" hidden="1" outlineLevel="1" x14ac:dyDescent="0.35"/>
    <row r="260" spans="1:19" ht="18.75" hidden="1" customHeight="1" outlineLevel="1" x14ac:dyDescent="0.45">
      <c r="A260" s="400" t="s">
        <v>275</v>
      </c>
      <c r="B260" s="400"/>
      <c r="C260" s="400"/>
      <c r="D260" s="400"/>
      <c r="E260" s="184">
        <f>H287</f>
        <v>4</v>
      </c>
      <c r="I260"/>
      <c r="K260" s="3"/>
      <c r="L260" s="3"/>
      <c r="M260" s="3"/>
      <c r="N260" s="3"/>
      <c r="O260" s="3"/>
      <c r="P260" s="3"/>
      <c r="Q260" s="3"/>
      <c r="R260" s="3"/>
      <c r="S260" s="3"/>
    </row>
    <row r="261" spans="1:19" ht="18.5" hidden="1" outlineLevel="2" collapsed="1" x14ac:dyDescent="0.45">
      <c r="A261" s="194" t="s">
        <v>261</v>
      </c>
      <c r="B261" s="194"/>
      <c r="C261" s="194"/>
      <c r="D261" s="194"/>
      <c r="E261" s="228">
        <f>H269</f>
        <v>12</v>
      </c>
      <c r="F261" s="144"/>
      <c r="G261" s="144"/>
      <c r="H261" s="144"/>
      <c r="K261" s="3"/>
      <c r="L261" s="3"/>
      <c r="M261" s="3"/>
      <c r="N261" s="3"/>
      <c r="O261" s="3"/>
      <c r="P261" s="3"/>
      <c r="Q261" s="3"/>
      <c r="R261" s="3"/>
      <c r="S261" s="3"/>
    </row>
    <row r="262" spans="1:19" ht="29.75" hidden="1" customHeight="1" outlineLevel="3" x14ac:dyDescent="0.35">
      <c r="A262" s="195" t="s">
        <v>262</v>
      </c>
      <c r="B262" s="196" t="s">
        <v>117</v>
      </c>
      <c r="C262" s="196" t="s">
        <v>118</v>
      </c>
      <c r="D262" s="196" t="s">
        <v>119</v>
      </c>
      <c r="E262" s="229" t="s">
        <v>120</v>
      </c>
      <c r="F262" s="224" t="s">
        <v>121</v>
      </c>
      <c r="G262" s="224" t="s">
        <v>122</v>
      </c>
      <c r="H262" s="258" t="s">
        <v>241</v>
      </c>
      <c r="K262" s="3"/>
      <c r="L262" s="3"/>
      <c r="M262" s="3"/>
      <c r="N262" s="3"/>
      <c r="O262" s="3"/>
      <c r="P262" s="3"/>
      <c r="Q262" s="3"/>
      <c r="R262" s="3"/>
      <c r="S262" s="3"/>
    </row>
    <row r="263" spans="1:19" ht="15.5" hidden="1" outlineLevel="3" x14ac:dyDescent="0.35">
      <c r="A263" s="72" t="s">
        <v>276</v>
      </c>
      <c r="B263" s="193">
        <v>2</v>
      </c>
      <c r="C263" s="193">
        <v>0</v>
      </c>
      <c r="D263" s="193">
        <v>0</v>
      </c>
      <c r="E263" s="230">
        <v>0</v>
      </c>
      <c r="F263" s="231">
        <v>0</v>
      </c>
      <c r="G263" s="231">
        <v>2</v>
      </c>
      <c r="H263" s="258">
        <f t="shared" ref="H263:H268" si="40">SUM(B263:G263)</f>
        <v>4</v>
      </c>
      <c r="K263" s="3"/>
      <c r="L263" s="3"/>
      <c r="M263" s="3"/>
      <c r="N263" s="3"/>
      <c r="O263" s="3"/>
      <c r="P263" s="3"/>
      <c r="Q263" s="3"/>
      <c r="R263" s="3"/>
      <c r="S263" s="3"/>
    </row>
    <row r="264" spans="1:19" ht="15.5" hidden="1" outlineLevel="3" x14ac:dyDescent="0.35">
      <c r="A264" s="72" t="s">
        <v>276</v>
      </c>
      <c r="B264" s="193">
        <v>0</v>
      </c>
      <c r="C264" s="193">
        <v>0</v>
      </c>
      <c r="D264" s="193">
        <v>2</v>
      </c>
      <c r="E264" s="230"/>
      <c r="F264" s="231">
        <v>2</v>
      </c>
      <c r="G264" s="231">
        <v>2</v>
      </c>
      <c r="H264" s="258">
        <f t="shared" si="40"/>
        <v>6</v>
      </c>
      <c r="K264" s="3"/>
      <c r="L264" s="3"/>
      <c r="M264" s="3"/>
      <c r="N264" s="3"/>
      <c r="O264" s="3"/>
      <c r="P264" s="3"/>
      <c r="Q264" s="3"/>
      <c r="R264" s="3"/>
      <c r="S264" s="3"/>
    </row>
    <row r="265" spans="1:19" ht="15.5" hidden="1" outlineLevel="3" x14ac:dyDescent="0.35">
      <c r="A265" s="72" t="s">
        <v>92</v>
      </c>
      <c r="B265" s="193">
        <v>0</v>
      </c>
      <c r="C265" s="193">
        <v>0</v>
      </c>
      <c r="D265" s="193">
        <v>0</v>
      </c>
      <c r="E265" s="230"/>
      <c r="F265" s="231">
        <v>0</v>
      </c>
      <c r="G265" s="231">
        <v>0</v>
      </c>
      <c r="H265" s="258">
        <f t="shared" si="40"/>
        <v>0</v>
      </c>
      <c r="K265" s="3"/>
      <c r="L265" s="3"/>
      <c r="M265" s="3"/>
      <c r="N265" s="3"/>
      <c r="O265" s="3"/>
      <c r="P265" s="3"/>
      <c r="Q265" s="3"/>
      <c r="R265" s="3"/>
      <c r="S265" s="3"/>
    </row>
    <row r="266" spans="1:19" ht="15.5" hidden="1" outlineLevel="3" x14ac:dyDescent="0.35">
      <c r="A266" s="72" t="s">
        <v>128</v>
      </c>
      <c r="B266" s="193"/>
      <c r="C266" s="193">
        <v>0</v>
      </c>
      <c r="D266" s="193"/>
      <c r="E266" s="230"/>
      <c r="F266" s="231">
        <v>2</v>
      </c>
      <c r="G266" s="231"/>
      <c r="H266" s="258">
        <f t="shared" si="40"/>
        <v>2</v>
      </c>
      <c r="K266" s="3"/>
      <c r="L266" s="3"/>
      <c r="M266" s="3"/>
      <c r="N266" s="3"/>
      <c r="O266" s="3"/>
      <c r="P266" s="3"/>
      <c r="Q266" s="3"/>
      <c r="R266" s="3"/>
      <c r="S266" s="3"/>
    </row>
    <row r="267" spans="1:19" ht="15.5" hidden="1" outlineLevel="3" x14ac:dyDescent="0.35">
      <c r="A267" s="72" t="s">
        <v>128</v>
      </c>
      <c r="B267" s="193"/>
      <c r="C267" s="193"/>
      <c r="D267" s="193"/>
      <c r="E267" s="230"/>
      <c r="F267" s="231"/>
      <c r="G267" s="231"/>
      <c r="H267" s="258">
        <f t="shared" si="40"/>
        <v>0</v>
      </c>
      <c r="K267" s="3"/>
      <c r="L267" s="3"/>
      <c r="M267" s="3"/>
      <c r="N267" s="3"/>
      <c r="O267" s="3"/>
      <c r="P267" s="3"/>
      <c r="Q267" s="3"/>
      <c r="R267" s="3"/>
      <c r="S267" s="3"/>
    </row>
    <row r="268" spans="1:19" ht="15.5" hidden="1" outlineLevel="3" x14ac:dyDescent="0.35">
      <c r="A268" s="72" t="s">
        <v>128</v>
      </c>
      <c r="B268" s="193"/>
      <c r="C268" s="193"/>
      <c r="D268" s="193"/>
      <c r="E268" s="230"/>
      <c r="F268" s="231"/>
      <c r="G268" s="231"/>
      <c r="H268" s="258">
        <f t="shared" si="40"/>
        <v>0</v>
      </c>
      <c r="K268" s="3"/>
      <c r="L268" s="3"/>
      <c r="M268" s="3"/>
      <c r="N268" s="3"/>
      <c r="O268" s="3"/>
      <c r="P268" s="3"/>
      <c r="Q268" s="3"/>
      <c r="R268" s="3"/>
      <c r="S268" s="3"/>
    </row>
    <row r="269" spans="1:19" ht="15" hidden="1" outlineLevel="3" x14ac:dyDescent="0.35">
      <c r="A269" s="241" t="s">
        <v>263</v>
      </c>
      <c r="B269" s="240">
        <f>SUM(B263:B268)</f>
        <v>2</v>
      </c>
      <c r="C269" s="240">
        <f t="shared" ref="C269:H269" si="41">SUM(C263:C268)</f>
        <v>0</v>
      </c>
      <c r="D269" s="240">
        <f t="shared" si="41"/>
        <v>2</v>
      </c>
      <c r="E269" s="256">
        <f t="shared" si="41"/>
        <v>0</v>
      </c>
      <c r="F269" s="257">
        <f t="shared" si="41"/>
        <v>4</v>
      </c>
      <c r="G269" s="257">
        <f t="shared" si="41"/>
        <v>4</v>
      </c>
      <c r="H269" s="257">
        <f t="shared" si="41"/>
        <v>12</v>
      </c>
      <c r="K269" s="3"/>
      <c r="L269" s="3"/>
      <c r="M269" s="3"/>
      <c r="N269" s="3"/>
      <c r="O269" s="3"/>
      <c r="P269" s="3"/>
      <c r="Q269" s="3"/>
      <c r="R269" s="3"/>
      <c r="S269" s="3"/>
    </row>
    <row r="270" spans="1:19" ht="18.5" hidden="1" outlineLevel="2" collapsed="1" x14ac:dyDescent="0.45">
      <c r="A270" s="194" t="s">
        <v>264</v>
      </c>
      <c r="B270" s="194"/>
      <c r="C270" s="194"/>
      <c r="D270" s="194"/>
      <c r="E270" s="228">
        <f>H278</f>
        <v>16</v>
      </c>
      <c r="F270" s="144"/>
      <c r="G270" s="144"/>
      <c r="H270" s="144"/>
      <c r="K270" s="3"/>
      <c r="L270" s="3"/>
      <c r="M270" s="3"/>
      <c r="N270" s="3"/>
      <c r="O270" s="3"/>
      <c r="P270" s="3"/>
      <c r="Q270" s="3"/>
      <c r="R270" s="3"/>
      <c r="S270" s="3"/>
    </row>
    <row r="271" spans="1:19" ht="29.75" hidden="1" customHeight="1" outlineLevel="3" x14ac:dyDescent="0.35">
      <c r="A271" s="195" t="s">
        <v>262</v>
      </c>
      <c r="B271" s="196" t="s">
        <v>117</v>
      </c>
      <c r="C271" s="196" t="s">
        <v>118</v>
      </c>
      <c r="D271" s="196" t="s">
        <v>119</v>
      </c>
      <c r="E271" s="229" t="s">
        <v>120</v>
      </c>
      <c r="F271" s="224" t="s">
        <v>121</v>
      </c>
      <c r="G271" s="224" t="s">
        <v>122</v>
      </c>
      <c r="H271" s="258" t="s">
        <v>241</v>
      </c>
      <c r="K271" s="3"/>
      <c r="L271" s="3"/>
      <c r="M271" s="3"/>
      <c r="N271" s="3"/>
      <c r="O271" s="3"/>
      <c r="P271" s="3"/>
      <c r="Q271" s="3"/>
      <c r="R271" s="3"/>
      <c r="S271" s="3"/>
    </row>
    <row r="272" spans="1:19" ht="15.5" hidden="1" outlineLevel="3" x14ac:dyDescent="0.35">
      <c r="A272" s="72" t="s">
        <v>276</v>
      </c>
      <c r="B272" s="193">
        <v>2</v>
      </c>
      <c r="C272" s="193">
        <v>0</v>
      </c>
      <c r="D272" s="193">
        <v>0</v>
      </c>
      <c r="E272" s="230">
        <v>0</v>
      </c>
      <c r="F272" s="231">
        <v>0</v>
      </c>
      <c r="G272" s="231">
        <v>2</v>
      </c>
      <c r="H272" s="258">
        <f t="shared" ref="H272:H277" si="42">SUM(B272:G272)</f>
        <v>4</v>
      </c>
      <c r="K272" s="3"/>
      <c r="L272" s="3"/>
      <c r="M272" s="3"/>
      <c r="N272" s="3"/>
      <c r="O272" s="3"/>
      <c r="P272" s="3"/>
      <c r="Q272" s="3"/>
      <c r="R272" s="3"/>
      <c r="S272" s="3"/>
    </row>
    <row r="273" spans="1:19" ht="15.5" hidden="1" outlineLevel="3" x14ac:dyDescent="0.35">
      <c r="A273" s="72" t="s">
        <v>276</v>
      </c>
      <c r="B273" s="193">
        <v>0</v>
      </c>
      <c r="C273" s="193">
        <v>0</v>
      </c>
      <c r="D273" s="193">
        <v>1</v>
      </c>
      <c r="E273" s="230"/>
      <c r="F273" s="231">
        <v>2</v>
      </c>
      <c r="G273" s="231">
        <v>6</v>
      </c>
      <c r="H273" s="258">
        <f t="shared" si="42"/>
        <v>9</v>
      </c>
      <c r="K273" s="3"/>
      <c r="L273" s="3"/>
      <c r="M273" s="3"/>
      <c r="N273" s="3"/>
      <c r="O273" s="3"/>
      <c r="P273" s="3"/>
      <c r="Q273" s="3"/>
      <c r="R273" s="3"/>
      <c r="S273" s="3"/>
    </row>
    <row r="274" spans="1:19" ht="15.5" hidden="1" outlineLevel="3" x14ac:dyDescent="0.35">
      <c r="A274" s="72" t="s">
        <v>92</v>
      </c>
      <c r="B274" s="193">
        <v>0</v>
      </c>
      <c r="C274" s="193">
        <v>0</v>
      </c>
      <c r="D274" s="193">
        <v>0</v>
      </c>
      <c r="E274" s="230"/>
      <c r="F274" s="231">
        <v>0</v>
      </c>
      <c r="G274" s="231">
        <v>0</v>
      </c>
      <c r="H274" s="258">
        <f t="shared" si="42"/>
        <v>0</v>
      </c>
      <c r="K274" s="3"/>
      <c r="L274" s="3"/>
      <c r="M274" s="3"/>
      <c r="N274" s="3"/>
      <c r="O274" s="3"/>
      <c r="P274" s="3"/>
      <c r="Q274" s="3"/>
      <c r="R274" s="3"/>
      <c r="S274" s="3"/>
    </row>
    <row r="275" spans="1:19" ht="15.5" hidden="1" outlineLevel="3" x14ac:dyDescent="0.35">
      <c r="A275" s="72" t="s">
        <v>128</v>
      </c>
      <c r="B275" s="193"/>
      <c r="C275" s="193">
        <v>0</v>
      </c>
      <c r="D275" s="193"/>
      <c r="E275" s="230"/>
      <c r="F275" s="231">
        <v>3</v>
      </c>
      <c r="G275" s="231"/>
      <c r="H275" s="258">
        <f t="shared" si="42"/>
        <v>3</v>
      </c>
      <c r="K275" s="3"/>
      <c r="L275" s="3"/>
      <c r="M275" s="3"/>
      <c r="N275" s="3"/>
      <c r="O275" s="3"/>
      <c r="P275" s="3"/>
      <c r="Q275" s="3"/>
      <c r="R275" s="3"/>
      <c r="S275" s="3"/>
    </row>
    <row r="276" spans="1:19" ht="15.5" hidden="1" outlineLevel="3" x14ac:dyDescent="0.35">
      <c r="A276" s="72" t="s">
        <v>128</v>
      </c>
      <c r="B276" s="193"/>
      <c r="C276" s="193"/>
      <c r="D276" s="193"/>
      <c r="E276" s="230"/>
      <c r="F276" s="231"/>
      <c r="G276" s="231"/>
      <c r="H276" s="258">
        <f t="shared" si="42"/>
        <v>0</v>
      </c>
      <c r="K276" s="3"/>
      <c r="L276" s="3"/>
      <c r="M276" s="3"/>
      <c r="N276" s="3"/>
      <c r="O276" s="3"/>
      <c r="P276" s="3"/>
      <c r="Q276" s="3"/>
      <c r="R276" s="3"/>
      <c r="S276" s="3"/>
    </row>
    <row r="277" spans="1:19" ht="15.5" hidden="1" outlineLevel="3" x14ac:dyDescent="0.35">
      <c r="A277" s="72" t="s">
        <v>128</v>
      </c>
      <c r="B277" s="193"/>
      <c r="C277" s="193"/>
      <c r="D277" s="193"/>
      <c r="E277" s="230"/>
      <c r="F277" s="231"/>
      <c r="G277" s="231"/>
      <c r="H277" s="258">
        <f t="shared" si="42"/>
        <v>0</v>
      </c>
      <c r="K277" s="3"/>
      <c r="L277" s="3"/>
      <c r="M277" s="3"/>
      <c r="N277" s="3"/>
      <c r="O277" s="3"/>
      <c r="P277" s="3"/>
      <c r="Q277" s="3"/>
      <c r="R277" s="3"/>
      <c r="S277" s="3"/>
    </row>
    <row r="278" spans="1:19" ht="15" hidden="1" outlineLevel="3" x14ac:dyDescent="0.35">
      <c r="A278" s="241" t="s">
        <v>265</v>
      </c>
      <c r="B278" s="240">
        <f>SUM(B272:B277)</f>
        <v>2</v>
      </c>
      <c r="C278" s="240">
        <f t="shared" ref="C278:H278" si="43">SUM(C272:C277)</f>
        <v>0</v>
      </c>
      <c r="D278" s="240">
        <f t="shared" si="43"/>
        <v>1</v>
      </c>
      <c r="E278" s="256">
        <f t="shared" si="43"/>
        <v>0</v>
      </c>
      <c r="F278" s="257">
        <f t="shared" si="43"/>
        <v>5</v>
      </c>
      <c r="G278" s="257">
        <f t="shared" si="43"/>
        <v>8</v>
      </c>
      <c r="H278" s="257">
        <f t="shared" si="43"/>
        <v>16</v>
      </c>
      <c r="K278" s="3"/>
      <c r="L278" s="3"/>
      <c r="M278" s="3"/>
      <c r="N278" s="3"/>
      <c r="O278" s="3"/>
      <c r="P278" s="3"/>
      <c r="Q278" s="3"/>
      <c r="R278" s="3"/>
      <c r="S278" s="3"/>
    </row>
    <row r="279" spans="1:19" ht="18.5" hidden="1" outlineLevel="2" collapsed="1" x14ac:dyDescent="0.45">
      <c r="A279" s="194" t="s">
        <v>266</v>
      </c>
      <c r="B279" s="194"/>
      <c r="C279" s="194"/>
      <c r="D279" s="194"/>
      <c r="E279" s="228">
        <f>H287</f>
        <v>4</v>
      </c>
      <c r="F279" s="144"/>
      <c r="G279" s="144"/>
      <c r="H279" s="144"/>
      <c r="K279" s="3"/>
      <c r="L279" s="3"/>
      <c r="M279" s="3"/>
      <c r="N279" s="3"/>
      <c r="O279" s="3"/>
      <c r="P279" s="3"/>
      <c r="Q279" s="3"/>
      <c r="R279" s="3"/>
      <c r="S279" s="3"/>
    </row>
    <row r="280" spans="1:19" ht="29.75" hidden="1" customHeight="1" outlineLevel="3" x14ac:dyDescent="0.35">
      <c r="A280" s="195" t="s">
        <v>262</v>
      </c>
      <c r="B280" s="196" t="s">
        <v>117</v>
      </c>
      <c r="C280" s="196" t="s">
        <v>118</v>
      </c>
      <c r="D280" s="196" t="s">
        <v>119</v>
      </c>
      <c r="E280" s="229" t="s">
        <v>120</v>
      </c>
      <c r="F280" s="224" t="s">
        <v>121</v>
      </c>
      <c r="G280" s="224" t="s">
        <v>122</v>
      </c>
      <c r="H280" s="258" t="s">
        <v>241</v>
      </c>
      <c r="K280" s="3"/>
      <c r="L280" s="3"/>
      <c r="M280" s="3"/>
      <c r="N280" s="3"/>
      <c r="O280" s="3"/>
      <c r="P280" s="3"/>
      <c r="Q280" s="3"/>
      <c r="R280" s="3"/>
      <c r="S280" s="3"/>
    </row>
    <row r="281" spans="1:19" ht="15.5" hidden="1" outlineLevel="3" x14ac:dyDescent="0.35">
      <c r="A281" s="72" t="s">
        <v>276</v>
      </c>
      <c r="B281" s="193">
        <f t="shared" ref="B281:G286" si="44">B272-B263</f>
        <v>0</v>
      </c>
      <c r="C281" s="193">
        <f t="shared" si="44"/>
        <v>0</v>
      </c>
      <c r="D281" s="193">
        <f t="shared" si="44"/>
        <v>0</v>
      </c>
      <c r="E281" s="230">
        <f t="shared" si="44"/>
        <v>0</v>
      </c>
      <c r="F281" s="231">
        <f t="shared" si="44"/>
        <v>0</v>
      </c>
      <c r="G281" s="231">
        <f t="shared" si="44"/>
        <v>0</v>
      </c>
      <c r="H281" s="258">
        <f t="shared" ref="H281:H286" si="45">SUM(B281:G281)</f>
        <v>0</v>
      </c>
      <c r="K281" s="3"/>
      <c r="L281" s="3"/>
      <c r="M281" s="3"/>
      <c r="N281" s="3"/>
      <c r="O281" s="3"/>
      <c r="P281" s="3"/>
      <c r="Q281" s="3"/>
      <c r="R281" s="3"/>
      <c r="S281" s="3"/>
    </row>
    <row r="282" spans="1:19" ht="15.5" hidden="1" outlineLevel="3" x14ac:dyDescent="0.35">
      <c r="A282" s="72" t="s">
        <v>276</v>
      </c>
      <c r="B282" s="193">
        <f t="shared" si="44"/>
        <v>0</v>
      </c>
      <c r="C282" s="193">
        <f t="shared" si="44"/>
        <v>0</v>
      </c>
      <c r="D282" s="193">
        <f t="shared" si="44"/>
        <v>-1</v>
      </c>
      <c r="E282" s="230">
        <f t="shared" si="44"/>
        <v>0</v>
      </c>
      <c r="F282" s="231">
        <f t="shared" si="44"/>
        <v>0</v>
      </c>
      <c r="G282" s="231">
        <f t="shared" si="44"/>
        <v>4</v>
      </c>
      <c r="H282" s="258">
        <f t="shared" si="45"/>
        <v>3</v>
      </c>
      <c r="K282" s="3"/>
      <c r="L282" s="3"/>
      <c r="M282" s="3"/>
      <c r="N282" s="3"/>
      <c r="O282" s="3"/>
      <c r="P282" s="3"/>
      <c r="Q282" s="3"/>
      <c r="R282" s="3"/>
      <c r="S282" s="3"/>
    </row>
    <row r="283" spans="1:19" ht="15.5" hidden="1" outlineLevel="3" x14ac:dyDescent="0.35">
      <c r="A283" s="72" t="s">
        <v>92</v>
      </c>
      <c r="B283" s="193">
        <f t="shared" si="44"/>
        <v>0</v>
      </c>
      <c r="C283" s="193">
        <f t="shared" si="44"/>
        <v>0</v>
      </c>
      <c r="D283" s="193">
        <f t="shared" si="44"/>
        <v>0</v>
      </c>
      <c r="E283" s="230">
        <f t="shared" si="44"/>
        <v>0</v>
      </c>
      <c r="F283" s="231">
        <f t="shared" si="44"/>
        <v>0</v>
      </c>
      <c r="G283" s="231">
        <f t="shared" si="44"/>
        <v>0</v>
      </c>
      <c r="H283" s="258">
        <f t="shared" si="45"/>
        <v>0</v>
      </c>
      <c r="K283" s="3"/>
      <c r="L283" s="3"/>
      <c r="M283" s="3"/>
      <c r="N283" s="3"/>
      <c r="O283" s="3"/>
      <c r="P283" s="3"/>
      <c r="Q283" s="3"/>
      <c r="R283" s="3"/>
      <c r="S283" s="3"/>
    </row>
    <row r="284" spans="1:19" ht="15.5" hidden="1" outlineLevel="3" x14ac:dyDescent="0.35">
      <c r="A284" s="72" t="s">
        <v>128</v>
      </c>
      <c r="B284" s="193">
        <f t="shared" si="44"/>
        <v>0</v>
      </c>
      <c r="C284" s="193">
        <f t="shared" si="44"/>
        <v>0</v>
      </c>
      <c r="D284" s="193">
        <f t="shared" si="44"/>
        <v>0</v>
      </c>
      <c r="E284" s="230">
        <f t="shared" si="44"/>
        <v>0</v>
      </c>
      <c r="F284" s="231">
        <f t="shared" si="44"/>
        <v>1</v>
      </c>
      <c r="G284" s="231">
        <f t="shared" si="44"/>
        <v>0</v>
      </c>
      <c r="H284" s="258">
        <f t="shared" si="45"/>
        <v>1</v>
      </c>
      <c r="K284" s="3"/>
      <c r="L284" s="3"/>
      <c r="M284" s="3"/>
      <c r="N284" s="3"/>
      <c r="O284" s="3"/>
      <c r="P284" s="3"/>
      <c r="Q284" s="3"/>
      <c r="R284" s="3"/>
      <c r="S284" s="3"/>
    </row>
    <row r="285" spans="1:19" ht="15.5" hidden="1" outlineLevel="3" x14ac:dyDescent="0.35">
      <c r="A285" s="72" t="s">
        <v>128</v>
      </c>
      <c r="B285" s="193">
        <f t="shared" si="44"/>
        <v>0</v>
      </c>
      <c r="C285" s="193">
        <f t="shared" si="44"/>
        <v>0</v>
      </c>
      <c r="D285" s="193">
        <f t="shared" si="44"/>
        <v>0</v>
      </c>
      <c r="E285" s="230">
        <f t="shared" si="44"/>
        <v>0</v>
      </c>
      <c r="F285" s="231">
        <f t="shared" si="44"/>
        <v>0</v>
      </c>
      <c r="G285" s="231">
        <f t="shared" si="44"/>
        <v>0</v>
      </c>
      <c r="H285" s="258">
        <f t="shared" si="45"/>
        <v>0</v>
      </c>
      <c r="K285" s="3"/>
      <c r="L285" s="3"/>
      <c r="M285" s="3"/>
      <c r="N285" s="3"/>
      <c r="O285" s="3"/>
      <c r="P285" s="3"/>
      <c r="Q285" s="3"/>
      <c r="R285" s="3"/>
      <c r="S285" s="3"/>
    </row>
    <row r="286" spans="1:19" ht="15.5" hidden="1" outlineLevel="3" x14ac:dyDescent="0.35">
      <c r="A286" s="72" t="s">
        <v>128</v>
      </c>
      <c r="B286" s="193">
        <f t="shared" si="44"/>
        <v>0</v>
      </c>
      <c r="C286" s="193">
        <f t="shared" si="44"/>
        <v>0</v>
      </c>
      <c r="D286" s="193">
        <f t="shared" si="44"/>
        <v>0</v>
      </c>
      <c r="E286" s="230">
        <f t="shared" si="44"/>
        <v>0</v>
      </c>
      <c r="F286" s="231">
        <f t="shared" si="44"/>
        <v>0</v>
      </c>
      <c r="G286" s="231">
        <f t="shared" si="44"/>
        <v>0</v>
      </c>
      <c r="H286" s="258">
        <f t="shared" si="45"/>
        <v>0</v>
      </c>
      <c r="K286" s="3"/>
      <c r="L286" s="3"/>
      <c r="M286" s="3"/>
      <c r="N286" s="3"/>
      <c r="O286" s="3"/>
      <c r="P286" s="3"/>
      <c r="Q286" s="3"/>
      <c r="R286" s="3"/>
      <c r="S286" s="3"/>
    </row>
    <row r="287" spans="1:19" ht="15" hidden="1" outlineLevel="3" x14ac:dyDescent="0.35">
      <c r="A287" s="241" t="s">
        <v>267</v>
      </c>
      <c r="B287" s="240">
        <f>SUM(B281:B286)</f>
        <v>0</v>
      </c>
      <c r="C287" s="240">
        <f t="shared" ref="C287:H287" si="46">SUM(C281:C286)</f>
        <v>0</v>
      </c>
      <c r="D287" s="240">
        <f t="shared" si="46"/>
        <v>-1</v>
      </c>
      <c r="E287" s="256">
        <f t="shared" si="46"/>
        <v>0</v>
      </c>
      <c r="F287" s="257">
        <f t="shared" si="46"/>
        <v>1</v>
      </c>
      <c r="G287" s="257">
        <f t="shared" si="46"/>
        <v>4</v>
      </c>
      <c r="H287" s="257">
        <f t="shared" si="46"/>
        <v>4</v>
      </c>
      <c r="K287" s="3"/>
      <c r="L287" s="3"/>
      <c r="M287" s="3"/>
      <c r="N287" s="3"/>
      <c r="O287" s="3"/>
      <c r="P287" s="3"/>
      <c r="Q287" s="3"/>
      <c r="R287" s="3"/>
      <c r="S287" s="3"/>
    </row>
    <row r="288" spans="1:19" hidden="1" outlineLevel="2" x14ac:dyDescent="0.35"/>
    <row r="289" spans="1:11" hidden="1" outlineLevel="1" x14ac:dyDescent="0.35"/>
    <row r="290" spans="1:11" ht="18.5" hidden="1" outlineLevel="1" x14ac:dyDescent="0.45">
      <c r="A290" s="400" t="s">
        <v>277</v>
      </c>
      <c r="B290" s="400"/>
      <c r="C290" s="400"/>
      <c r="D290" s="400"/>
      <c r="E290" s="184">
        <f>H292</f>
        <v>669995</v>
      </c>
    </row>
    <row r="291" spans="1:11" ht="18.5" hidden="1" outlineLevel="2" x14ac:dyDescent="0.35">
      <c r="B291" s="196" t="s">
        <v>117</v>
      </c>
      <c r="C291" s="196" t="s">
        <v>118</v>
      </c>
      <c r="D291" s="196" t="s">
        <v>119</v>
      </c>
      <c r="E291" s="229" t="s">
        <v>120</v>
      </c>
      <c r="F291" s="224" t="s">
        <v>121</v>
      </c>
      <c r="G291" s="224" t="s">
        <v>122</v>
      </c>
      <c r="H291" s="259" t="s">
        <v>241</v>
      </c>
    </row>
    <row r="292" spans="1:11" hidden="1" outlineLevel="2" x14ac:dyDescent="0.35">
      <c r="A292" t="s">
        <v>278</v>
      </c>
      <c r="B292" s="225">
        <f>SUM(B287,B257,B227,F198)</f>
        <v>-615</v>
      </c>
      <c r="C292" s="225">
        <f>SUM(C287,C257,C227,H198)</f>
        <v>132296</v>
      </c>
      <c r="D292" s="225">
        <f>SUM(D287,D257,D227,J198)</f>
        <v>127823</v>
      </c>
      <c r="E292" s="225">
        <f>SUM(E287,E257,E227,L198)</f>
        <v>172826</v>
      </c>
      <c r="F292" s="225">
        <f>SUM(F287,F257,F227,N198)</f>
        <v>118829</v>
      </c>
      <c r="G292" s="225">
        <f>SUM(G287,G257,G227,P198)</f>
        <v>118836</v>
      </c>
      <c r="H292" s="225">
        <f>SUM(B292:G292)</f>
        <v>669995</v>
      </c>
    </row>
    <row r="293" spans="1:11" hidden="1" outlineLevel="1" x14ac:dyDescent="0.35">
      <c r="B293" s="226"/>
      <c r="C293" s="226"/>
      <c r="D293" s="226"/>
      <c r="E293" s="226"/>
      <c r="F293" s="226"/>
      <c r="G293" s="226"/>
      <c r="H293" s="227"/>
    </row>
    <row r="295" spans="1:11" ht="18.5" collapsed="1" x14ac:dyDescent="0.35">
      <c r="A295" s="477" t="s">
        <v>73</v>
      </c>
      <c r="B295" s="477"/>
      <c r="C295" s="477"/>
      <c r="D295" s="477"/>
      <c r="E295" s="295">
        <f>B314</f>
        <v>653</v>
      </c>
      <c r="F295" s="293"/>
      <c r="G295" s="293"/>
      <c r="H295" s="293"/>
      <c r="I295" s="294"/>
      <c r="J295" s="294"/>
      <c r="K295" s="293"/>
    </row>
    <row r="296" spans="1:11" ht="18.5" hidden="1" outlineLevel="1" x14ac:dyDescent="0.45">
      <c r="A296" s="456" t="s">
        <v>279</v>
      </c>
      <c r="B296" s="456"/>
      <c r="C296" s="456"/>
      <c r="D296" s="456"/>
      <c r="E296" s="456"/>
      <c r="F296" s="456"/>
      <c r="G296" s="456"/>
      <c r="H296" s="456"/>
    </row>
    <row r="297" spans="1:11" hidden="1" outlineLevel="1" x14ac:dyDescent="0.35">
      <c r="A297" s="13"/>
      <c r="B297" s="14" t="s">
        <v>116</v>
      </c>
      <c r="C297" s="14" t="s">
        <v>117</v>
      </c>
      <c r="D297" s="14" t="s">
        <v>118</v>
      </c>
      <c r="E297" s="14" t="s">
        <v>119</v>
      </c>
      <c r="F297" s="14" t="s">
        <v>120</v>
      </c>
      <c r="G297" s="14" t="s">
        <v>121</v>
      </c>
      <c r="H297" s="14" t="s">
        <v>122</v>
      </c>
    </row>
    <row r="298" spans="1:11" ht="15.5" hidden="1" outlineLevel="1" x14ac:dyDescent="0.35">
      <c r="A298" s="478" t="s">
        <v>280</v>
      </c>
      <c r="B298" s="405"/>
      <c r="C298" s="405"/>
      <c r="D298" s="405"/>
      <c r="E298" s="405"/>
      <c r="F298" s="405"/>
      <c r="G298" s="405"/>
      <c r="H298" s="479"/>
    </row>
    <row r="299" spans="1:11" ht="15.5" hidden="1" outlineLevel="1" x14ac:dyDescent="0.35">
      <c r="A299" s="260"/>
      <c r="B299" s="260">
        <f t="shared" ref="B299:H299" si="47">SUBTOTAL(9,B300:B302)</f>
        <v>7</v>
      </c>
      <c r="C299" s="260">
        <f t="shared" si="47"/>
        <v>7</v>
      </c>
      <c r="D299" s="260">
        <f t="shared" si="47"/>
        <v>0</v>
      </c>
      <c r="E299" s="260">
        <f t="shared" si="47"/>
        <v>0</v>
      </c>
      <c r="F299" s="260">
        <f t="shared" si="47"/>
        <v>0</v>
      </c>
      <c r="G299" s="260">
        <f t="shared" si="47"/>
        <v>0</v>
      </c>
      <c r="H299" s="260">
        <f t="shared" si="47"/>
        <v>0</v>
      </c>
    </row>
    <row r="300" spans="1:11" ht="15.5" hidden="1" outlineLevel="1" x14ac:dyDescent="0.35">
      <c r="A300" s="159" t="s">
        <v>281</v>
      </c>
      <c r="B300" s="261">
        <f>SUM(C300:H300)</f>
        <v>5</v>
      </c>
      <c r="C300" s="161">
        <v>5</v>
      </c>
      <c r="D300" s="161"/>
      <c r="E300" s="161"/>
      <c r="F300" s="161"/>
      <c r="G300" s="161"/>
      <c r="H300" s="161"/>
    </row>
    <row r="301" spans="1:11" ht="15.5" hidden="1" outlineLevel="1" x14ac:dyDescent="0.35">
      <c r="A301" s="159" t="s">
        <v>282</v>
      </c>
      <c r="B301" s="261">
        <f>SUM(C301:H301)</f>
        <v>1</v>
      </c>
      <c r="C301" s="161">
        <v>1</v>
      </c>
      <c r="D301" s="161"/>
      <c r="E301" s="161"/>
      <c r="F301" s="161"/>
      <c r="G301" s="161">
        <v>0</v>
      </c>
      <c r="H301" s="161">
        <v>0</v>
      </c>
    </row>
    <row r="302" spans="1:11" ht="15.5" hidden="1" outlineLevel="1" x14ac:dyDescent="0.35">
      <c r="A302" s="159" t="s">
        <v>283</v>
      </c>
      <c r="B302" s="261">
        <f>SUM(C302:H302)</f>
        <v>1</v>
      </c>
      <c r="C302" s="161">
        <v>1</v>
      </c>
      <c r="D302" s="161"/>
      <c r="E302" s="161"/>
      <c r="F302" s="161"/>
      <c r="G302" s="161"/>
      <c r="H302" s="161"/>
    </row>
    <row r="303" spans="1:11" ht="15.5" hidden="1" outlineLevel="1" x14ac:dyDescent="0.35">
      <c r="A303" s="480" t="s">
        <v>284</v>
      </c>
      <c r="B303" s="408"/>
      <c r="C303" s="408"/>
      <c r="D303" s="408"/>
      <c r="E303" s="408"/>
      <c r="F303" s="408"/>
      <c r="G303" s="408"/>
      <c r="H303" s="408"/>
    </row>
    <row r="304" spans="1:11" ht="15.5" hidden="1" outlineLevel="1" x14ac:dyDescent="0.35">
      <c r="A304" s="260"/>
      <c r="B304" s="260">
        <f>SUBTOTAL(9,B305:B307)</f>
        <v>643</v>
      </c>
      <c r="C304" s="260">
        <f t="shared" ref="C304:H304" si="48">SUBTOTAL(9,C305:C307)</f>
        <v>623</v>
      </c>
      <c r="D304" s="260">
        <f t="shared" si="48"/>
        <v>4</v>
      </c>
      <c r="E304" s="260">
        <f t="shared" si="48"/>
        <v>4</v>
      </c>
      <c r="F304" s="260">
        <f t="shared" si="48"/>
        <v>4</v>
      </c>
      <c r="G304" s="260">
        <f t="shared" si="48"/>
        <v>4</v>
      </c>
      <c r="H304" s="260">
        <f t="shared" si="48"/>
        <v>4</v>
      </c>
    </row>
    <row r="305" spans="1:11" ht="15.5" hidden="1" outlineLevel="1" x14ac:dyDescent="0.35">
      <c r="A305" s="121" t="s">
        <v>285</v>
      </c>
      <c r="B305" s="262">
        <f>SUM(C305:H305)</f>
        <v>615</v>
      </c>
      <c r="C305" s="161">
        <f t="shared" ref="C305:H305" si="49">IF(B292&lt;0,-B292,0)</f>
        <v>615</v>
      </c>
      <c r="D305" s="161">
        <f t="shared" si="49"/>
        <v>0</v>
      </c>
      <c r="E305" s="161">
        <f t="shared" si="49"/>
        <v>0</v>
      </c>
      <c r="F305" s="161">
        <f t="shared" si="49"/>
        <v>0</v>
      </c>
      <c r="G305" s="161">
        <f t="shared" si="49"/>
        <v>0</v>
      </c>
      <c r="H305" s="161">
        <f t="shared" si="49"/>
        <v>0</v>
      </c>
    </row>
    <row r="306" spans="1:11" ht="15.5" hidden="1" outlineLevel="1" x14ac:dyDescent="0.35">
      <c r="A306" s="159" t="s">
        <v>286</v>
      </c>
      <c r="B306" s="261">
        <f>SUM(C306:H306)</f>
        <v>24</v>
      </c>
      <c r="C306" s="161">
        <v>4</v>
      </c>
      <c r="D306" s="161">
        <v>4</v>
      </c>
      <c r="E306" s="161">
        <v>4</v>
      </c>
      <c r="F306" s="161">
        <v>4</v>
      </c>
      <c r="G306" s="161">
        <v>4</v>
      </c>
      <c r="H306" s="161">
        <v>4</v>
      </c>
    </row>
    <row r="307" spans="1:11" ht="15.5" hidden="1" outlineLevel="1" x14ac:dyDescent="0.35">
      <c r="A307" s="159" t="s">
        <v>287</v>
      </c>
      <c r="B307" s="261">
        <f>SUM(C307:H307)</f>
        <v>4</v>
      </c>
      <c r="C307" s="161">
        <v>4</v>
      </c>
      <c r="D307" s="161">
        <v>0</v>
      </c>
      <c r="E307" s="161">
        <v>0</v>
      </c>
      <c r="F307" s="161">
        <v>0</v>
      </c>
      <c r="G307" s="161">
        <v>0</v>
      </c>
      <c r="H307" s="161">
        <v>0</v>
      </c>
    </row>
    <row r="308" spans="1:11" ht="15.5" hidden="1" outlineLevel="1" x14ac:dyDescent="0.35">
      <c r="A308" s="480" t="s">
        <v>288</v>
      </c>
      <c r="B308" s="408"/>
      <c r="C308" s="408"/>
      <c r="D308" s="408"/>
      <c r="E308" s="408"/>
      <c r="F308" s="408"/>
      <c r="G308" s="408"/>
      <c r="H308" s="408"/>
    </row>
    <row r="309" spans="1:11" ht="15.5" hidden="1" outlineLevel="1" x14ac:dyDescent="0.35">
      <c r="A309" s="260"/>
      <c r="B309" s="260">
        <f t="shared" ref="B309:H309" si="50">SUBTOTAL(9,B310:B312)</f>
        <v>3</v>
      </c>
      <c r="C309" s="260">
        <f t="shared" si="50"/>
        <v>3</v>
      </c>
      <c r="D309" s="260">
        <f t="shared" si="50"/>
        <v>0</v>
      </c>
      <c r="E309" s="260">
        <f t="shared" si="50"/>
        <v>0</v>
      </c>
      <c r="F309" s="260">
        <f t="shared" si="50"/>
        <v>0</v>
      </c>
      <c r="G309" s="260">
        <f t="shared" si="50"/>
        <v>0</v>
      </c>
      <c r="H309" s="260">
        <f t="shared" si="50"/>
        <v>0</v>
      </c>
    </row>
    <row r="310" spans="1:11" ht="15.5" hidden="1" outlineLevel="1" x14ac:dyDescent="0.35">
      <c r="A310" s="162" t="s">
        <v>289</v>
      </c>
      <c r="B310" s="261">
        <f>SUM(C310:H310)</f>
        <v>1</v>
      </c>
      <c r="C310" s="161">
        <v>1</v>
      </c>
      <c r="D310" s="161"/>
      <c r="E310" s="161"/>
      <c r="F310" s="161"/>
      <c r="G310" s="161"/>
      <c r="H310" s="161"/>
    </row>
    <row r="311" spans="1:11" ht="15.5" hidden="1" outlineLevel="1" x14ac:dyDescent="0.35">
      <c r="A311" s="162" t="s">
        <v>290</v>
      </c>
      <c r="B311" s="261">
        <f>SUM(C311:H311)</f>
        <v>1</v>
      </c>
      <c r="C311" s="161">
        <v>1</v>
      </c>
      <c r="D311" s="161"/>
      <c r="E311" s="161"/>
      <c r="F311" s="161"/>
      <c r="G311" s="161"/>
      <c r="H311" s="161"/>
    </row>
    <row r="312" spans="1:11" ht="15.5" hidden="1" outlineLevel="1" x14ac:dyDescent="0.35">
      <c r="A312" s="162" t="s">
        <v>291</v>
      </c>
      <c r="B312" s="261">
        <f>SUM(C312:H312)</f>
        <v>1</v>
      </c>
      <c r="C312" s="161">
        <v>1</v>
      </c>
      <c r="D312" s="161"/>
      <c r="E312" s="161"/>
      <c r="F312" s="161"/>
      <c r="G312" s="161"/>
      <c r="H312" s="161"/>
    </row>
    <row r="313" spans="1:11" ht="16" hidden="1" outlineLevel="1" x14ac:dyDescent="0.35">
      <c r="A313" s="9"/>
      <c r="B313" s="80"/>
      <c r="C313" s="81"/>
      <c r="D313" s="81"/>
      <c r="E313" s="81"/>
      <c r="F313" s="81"/>
      <c r="G313" s="81"/>
      <c r="H313" s="81"/>
    </row>
    <row r="314" spans="1:11" ht="16" hidden="1" outlineLevel="1" thickBot="1" x14ac:dyDescent="0.4">
      <c r="A314" s="263" t="s">
        <v>292</v>
      </c>
      <c r="B314" s="264">
        <f>SUBTOTAL(9,B299:B312)</f>
        <v>653</v>
      </c>
      <c r="C314" s="264">
        <f t="shared" ref="C314:H314" si="51">SUBTOTAL(9,C299:C313)</f>
        <v>633</v>
      </c>
      <c r="D314" s="264">
        <f t="shared" si="51"/>
        <v>4</v>
      </c>
      <c r="E314" s="264">
        <f t="shared" si="51"/>
        <v>4</v>
      </c>
      <c r="F314" s="264">
        <f t="shared" si="51"/>
        <v>4</v>
      </c>
      <c r="G314" s="264">
        <f t="shared" si="51"/>
        <v>4</v>
      </c>
      <c r="H314" s="264">
        <f t="shared" si="51"/>
        <v>4</v>
      </c>
    </row>
    <row r="316" spans="1:11" ht="18.5" collapsed="1" x14ac:dyDescent="0.45">
      <c r="A316" s="481" t="s">
        <v>130</v>
      </c>
      <c r="B316" s="481"/>
      <c r="C316" s="481"/>
      <c r="D316" s="481"/>
      <c r="E316" s="481"/>
      <c r="F316" s="353"/>
      <c r="G316" s="353"/>
      <c r="H316" s="353"/>
      <c r="I316" s="299"/>
      <c r="J316" s="299"/>
      <c r="K316" s="353"/>
    </row>
    <row r="317" spans="1:11" hidden="1" outlineLevel="1" x14ac:dyDescent="0.35">
      <c r="A317" s="14"/>
      <c r="B317" s="14" t="s">
        <v>116</v>
      </c>
      <c r="C317" s="14" t="s">
        <v>117</v>
      </c>
      <c r="D317" s="14" t="s">
        <v>118</v>
      </c>
      <c r="E317" s="14" t="s">
        <v>119</v>
      </c>
      <c r="F317" s="14" t="s">
        <v>120</v>
      </c>
      <c r="G317" s="14" t="s">
        <v>121</v>
      </c>
      <c r="H317" s="14" t="s">
        <v>122</v>
      </c>
    </row>
    <row r="318" spans="1:11" ht="15.5" hidden="1" outlineLevel="1" x14ac:dyDescent="0.35">
      <c r="A318" s="71" t="s">
        <v>131</v>
      </c>
      <c r="B318" s="265">
        <f>SUM(C318:H318)</f>
        <v>3868484.5</v>
      </c>
      <c r="C318" s="265">
        <f>E4+E46+E70+E95+E112</f>
        <v>3868484.5</v>
      </c>
      <c r="D318" s="266" t="s">
        <v>132</v>
      </c>
      <c r="E318" s="266" t="s">
        <v>132</v>
      </c>
      <c r="F318" s="266" t="s">
        <v>132</v>
      </c>
      <c r="G318" s="266" t="s">
        <v>132</v>
      </c>
      <c r="H318" s="266" t="s">
        <v>132</v>
      </c>
    </row>
    <row r="319" spans="1:11" ht="15.5" hidden="1" outlineLevel="1" x14ac:dyDescent="0.35">
      <c r="A319" s="71" t="s">
        <v>133</v>
      </c>
      <c r="B319" s="265">
        <f>SUM(C319:H319)</f>
        <v>669995</v>
      </c>
      <c r="C319" s="355">
        <f>SUM(F198+B227+B257+B287)</f>
        <v>-615</v>
      </c>
      <c r="D319" s="265">
        <f>H198+C227+C257+C287</f>
        <v>132296</v>
      </c>
      <c r="E319" s="265">
        <f>J198+D227+D257+D287</f>
        <v>127823</v>
      </c>
      <c r="F319" s="265">
        <f>L198+E227+E257+E287</f>
        <v>172826</v>
      </c>
      <c r="G319" s="265">
        <f>N198+F227+F257+F287</f>
        <v>118829</v>
      </c>
      <c r="H319" s="265">
        <f>P198+G227+G257+G287</f>
        <v>118836</v>
      </c>
    </row>
    <row r="320" spans="1:11" ht="15.5" hidden="1" outlineLevel="1" x14ac:dyDescent="0.35">
      <c r="A320" s="71" t="s">
        <v>134</v>
      </c>
      <c r="B320" s="265"/>
      <c r="C320" s="265"/>
      <c r="D320" s="265"/>
      <c r="E320" s="265"/>
      <c r="F320" s="265"/>
      <c r="G320" s="265"/>
      <c r="H320" s="265"/>
    </row>
    <row r="321" spans="1:8" ht="15.5" hidden="1" outlineLevel="1" x14ac:dyDescent="0.35">
      <c r="A321" s="72" t="s">
        <v>135</v>
      </c>
      <c r="B321" s="267">
        <f>(B318+B319)</f>
        <v>4538479.5</v>
      </c>
      <c r="C321" s="268">
        <f>(C318+C319)</f>
        <v>3867869.5</v>
      </c>
      <c r="D321" s="268">
        <f>D319</f>
        <v>132296</v>
      </c>
      <c r="E321" s="268">
        <f>E319</f>
        <v>127823</v>
      </c>
      <c r="F321" s="268">
        <f>F319</f>
        <v>172826</v>
      </c>
      <c r="G321" s="268">
        <f>G319</f>
        <v>118829</v>
      </c>
      <c r="H321" s="268">
        <f>H319</f>
        <v>118836</v>
      </c>
    </row>
    <row r="322" spans="1:8" ht="15.5" hidden="1" outlineLevel="1" x14ac:dyDescent="0.35">
      <c r="A322" s="72" t="s">
        <v>136</v>
      </c>
      <c r="B322" s="267">
        <f>SUM(C322:H322)</f>
        <v>653</v>
      </c>
      <c r="C322" s="268">
        <f t="shared" ref="C322:H322" si="52">C314</f>
        <v>633</v>
      </c>
      <c r="D322" s="268">
        <f t="shared" si="52"/>
        <v>4</v>
      </c>
      <c r="E322" s="268">
        <f t="shared" si="52"/>
        <v>4</v>
      </c>
      <c r="F322" s="268">
        <f t="shared" si="52"/>
        <v>4</v>
      </c>
      <c r="G322" s="268">
        <f t="shared" si="52"/>
        <v>4</v>
      </c>
      <c r="H322" s="268">
        <f t="shared" si="52"/>
        <v>4</v>
      </c>
    </row>
    <row r="323" spans="1:8" ht="15.5" hidden="1" outlineLevel="1" x14ac:dyDescent="0.35">
      <c r="A323" s="72" t="s">
        <v>137</v>
      </c>
      <c r="B323" s="267">
        <f t="shared" ref="B323:H323" si="53">B321-B322</f>
        <v>4537826.5</v>
      </c>
      <c r="C323" s="268">
        <f t="shared" si="53"/>
        <v>3867236.5</v>
      </c>
      <c r="D323" s="268">
        <f t="shared" si="53"/>
        <v>132292</v>
      </c>
      <c r="E323" s="268">
        <f t="shared" si="53"/>
        <v>127819</v>
      </c>
      <c r="F323" s="268">
        <f t="shared" si="53"/>
        <v>172822</v>
      </c>
      <c r="G323" s="268">
        <f t="shared" si="53"/>
        <v>118825</v>
      </c>
      <c r="H323" s="268">
        <f t="shared" si="53"/>
        <v>118832</v>
      </c>
    </row>
    <row r="324" spans="1:8" ht="15.5" hidden="1" outlineLevel="1" x14ac:dyDescent="0.35">
      <c r="A324" s="72" t="s">
        <v>84</v>
      </c>
      <c r="B324" s="267">
        <f>SUM(C324:H324)</f>
        <v>25251103</v>
      </c>
      <c r="C324" s="268">
        <f>C323</f>
        <v>3867236.5</v>
      </c>
      <c r="D324" s="268">
        <f>C324+D323</f>
        <v>3999528.5</v>
      </c>
      <c r="E324" s="268">
        <f>D324+E323</f>
        <v>4127347.5</v>
      </c>
      <c r="F324" s="268">
        <f>E324+F323</f>
        <v>4300169.5</v>
      </c>
      <c r="G324" s="268">
        <f>F324+G323</f>
        <v>4418994.5</v>
      </c>
      <c r="H324" s="268">
        <f>G324+H323</f>
        <v>4537826.5</v>
      </c>
    </row>
    <row r="327" spans="1:8" ht="21" x14ac:dyDescent="0.35">
      <c r="A327" s="474" t="s">
        <v>139</v>
      </c>
      <c r="B327" s="475"/>
      <c r="C327" s="475"/>
      <c r="D327" s="476"/>
    </row>
    <row r="328" spans="1:8" ht="15.5" x14ac:dyDescent="0.35">
      <c r="A328" s="302" t="s">
        <v>140</v>
      </c>
      <c r="B328" s="397">
        <v>0.18</v>
      </c>
      <c r="C328" s="398"/>
      <c r="D328" s="399"/>
    </row>
    <row r="329" spans="1:8" ht="15.5" x14ac:dyDescent="0.35">
      <c r="A329" s="303" t="s">
        <v>141</v>
      </c>
      <c r="B329" s="411">
        <f>NPV($C$328, D323:H323)+C323</f>
        <v>4537826.5</v>
      </c>
      <c r="C329" s="412"/>
      <c r="D329" s="413"/>
    </row>
    <row r="330" spans="1:8" ht="15.5" x14ac:dyDescent="0.35">
      <c r="A330" s="303" t="s">
        <v>142</v>
      </c>
      <c r="B330" s="411" t="e">
        <f>IRR(C323:H323)</f>
        <v>#NUM!</v>
      </c>
      <c r="C330" s="412"/>
      <c r="D330" s="413"/>
    </row>
    <row r="331" spans="1:8" ht="15.5" x14ac:dyDescent="0.35">
      <c r="A331" s="303" t="s">
        <v>143</v>
      </c>
      <c r="B331" s="411">
        <f>IF(D324&gt;0,0+(-C324/D323),IF(E324&gt;0,1+(-D324/E323),IF(F324&gt;0,2+(-E324/F323),IF(G324&gt;0,3+(-F324/G323),IF(H324&gt;0,4+(-G324/H323),)))))</f>
        <v>-29.23258020137272</v>
      </c>
      <c r="C331" s="412"/>
      <c r="D331" s="413"/>
    </row>
    <row r="332" spans="1:8" ht="15.5" x14ac:dyDescent="0.35">
      <c r="A332" s="304"/>
      <c r="B332" s="232" t="s">
        <v>30</v>
      </c>
      <c r="C332" s="232" t="s">
        <v>59</v>
      </c>
      <c r="D332" s="305" t="s">
        <v>144</v>
      </c>
    </row>
    <row r="333" spans="1:8" ht="15.5" x14ac:dyDescent="0.35">
      <c r="A333" s="306" t="s">
        <v>145</v>
      </c>
      <c r="B333" s="198">
        <f>E112</f>
        <v>7000</v>
      </c>
      <c r="C333" s="198">
        <f>E230</f>
        <v>4</v>
      </c>
      <c r="D333" s="307">
        <f>SUM(B333:C333)</f>
        <v>7004</v>
      </c>
    </row>
    <row r="334" spans="1:8" ht="15.5" x14ac:dyDescent="0.35">
      <c r="A334" s="308" t="s">
        <v>50</v>
      </c>
      <c r="B334" s="199">
        <f>E95</f>
        <v>72000</v>
      </c>
      <c r="C334" s="199">
        <f>E200</f>
        <v>2</v>
      </c>
      <c r="D334" s="307">
        <f>SUM(B334:C334)</f>
        <v>72002</v>
      </c>
    </row>
    <row r="335" spans="1:8" ht="15.5" x14ac:dyDescent="0.35">
      <c r="A335" s="309" t="s">
        <v>146</v>
      </c>
      <c r="B335" s="201">
        <f>E4+E46+E70</f>
        <v>3789484.5</v>
      </c>
      <c r="C335" s="201">
        <f>E260+E142</f>
        <v>669989</v>
      </c>
      <c r="D335" s="310">
        <f>SUM(B335:C335)</f>
        <v>4459473.5</v>
      </c>
    </row>
    <row r="336" spans="1:8" ht="16" thickBot="1" x14ac:dyDescent="0.4">
      <c r="A336" s="309" t="s">
        <v>235</v>
      </c>
      <c r="B336" s="201">
        <f>E138</f>
        <v>450018.75</v>
      </c>
      <c r="C336" s="201"/>
      <c r="D336" s="311"/>
    </row>
    <row r="337" spans="1:4" ht="15.5" x14ac:dyDescent="0.35">
      <c r="A337" s="312" t="s">
        <v>147</v>
      </c>
      <c r="B337" s="202">
        <f>SUM(B333:B336)</f>
        <v>4318503.25</v>
      </c>
      <c r="C337" s="202">
        <f>SUM(C333:C336)</f>
        <v>669995</v>
      </c>
      <c r="D337" s="313">
        <f>SUM(D333:D336)</f>
        <v>4538479.5</v>
      </c>
    </row>
    <row r="338" spans="1:4" ht="16" thickBot="1" x14ac:dyDescent="0.4">
      <c r="A338" s="314" t="s">
        <v>294</v>
      </c>
      <c r="B338" s="203">
        <f>B337+B337*0.5</f>
        <v>6477754.875</v>
      </c>
      <c r="C338" s="203">
        <f>C337+C337*0.5</f>
        <v>1004992.5</v>
      </c>
      <c r="D338" s="315">
        <f>D337+D337*0.5</f>
        <v>6807719.25</v>
      </c>
    </row>
    <row r="339" spans="1:4" ht="15.5" x14ac:dyDescent="0.35">
      <c r="A339" s="316" t="s">
        <v>148</v>
      </c>
      <c r="B339" s="200"/>
      <c r="C339" s="200">
        <f>E295</f>
        <v>653</v>
      </c>
      <c r="D339" s="317">
        <f>SUM(B339:C339)</f>
        <v>653</v>
      </c>
    </row>
    <row r="340" spans="1:4" ht="15.5" x14ac:dyDescent="0.35">
      <c r="A340" s="303" t="s">
        <v>137</v>
      </c>
      <c r="B340" s="200">
        <f>B339-B338</f>
        <v>-6477754.875</v>
      </c>
      <c r="C340" s="200">
        <f>C339-C338</f>
        <v>-1004339.5</v>
      </c>
      <c r="D340" s="317">
        <f>D339-D338</f>
        <v>-6807066.25</v>
      </c>
    </row>
    <row r="341" spans="1:4" ht="18.5" x14ac:dyDescent="0.45">
      <c r="A341" s="389" t="s">
        <v>149</v>
      </c>
      <c r="B341" s="390"/>
      <c r="C341" s="390"/>
      <c r="D341" s="391"/>
    </row>
    <row r="342" spans="1:4" ht="15.5" x14ac:dyDescent="0.35">
      <c r="A342" s="318" t="s">
        <v>150</v>
      </c>
      <c r="B342" s="392">
        <f>B329</f>
        <v>4537826.5</v>
      </c>
      <c r="C342" s="392"/>
      <c r="D342" s="393"/>
    </row>
    <row r="343" spans="1:4" ht="15.5" x14ac:dyDescent="0.35">
      <c r="A343" s="318" t="s">
        <v>142</v>
      </c>
      <c r="B343" s="392" t="e">
        <f>B330</f>
        <v>#NUM!</v>
      </c>
      <c r="C343" s="392"/>
      <c r="D343" s="393"/>
    </row>
    <row r="344" spans="1:4" ht="15.5" x14ac:dyDescent="0.35">
      <c r="A344" s="325" t="s">
        <v>151</v>
      </c>
      <c r="B344" s="446">
        <f>B331</f>
        <v>-29.23258020137272</v>
      </c>
      <c r="C344" s="446"/>
      <c r="D344" s="447"/>
    </row>
  </sheetData>
  <mergeCells count="71">
    <mergeCell ref="A5:F5"/>
    <mergeCell ref="A7:A10"/>
    <mergeCell ref="B7:B10"/>
    <mergeCell ref="C7:C10"/>
    <mergeCell ref="D7:D10"/>
    <mergeCell ref="E7:E10"/>
    <mergeCell ref="J7:J10"/>
    <mergeCell ref="K7:K10"/>
    <mergeCell ref="F41:J41"/>
    <mergeCell ref="A47:A48"/>
    <mergeCell ref="B47:B48"/>
    <mergeCell ref="C47:C48"/>
    <mergeCell ref="D47:E47"/>
    <mergeCell ref="A113:A114"/>
    <mergeCell ref="B113:B114"/>
    <mergeCell ref="C113:C114"/>
    <mergeCell ref="D113:F113"/>
    <mergeCell ref="A68:C68"/>
    <mergeCell ref="A71:A72"/>
    <mergeCell ref="B71:B72"/>
    <mergeCell ref="C71:C72"/>
    <mergeCell ref="D71:E71"/>
    <mergeCell ref="A93:C93"/>
    <mergeCell ref="A96:A97"/>
    <mergeCell ref="B96:B97"/>
    <mergeCell ref="C96:C97"/>
    <mergeCell ref="D96:F96"/>
    <mergeCell ref="A110:E110"/>
    <mergeCell ref="A136:E136"/>
    <mergeCell ref="A142:D142"/>
    <mergeCell ref="A143:A144"/>
    <mergeCell ref="B143:B144"/>
    <mergeCell ref="C143:C144"/>
    <mergeCell ref="D143:D144"/>
    <mergeCell ref="E143:E144"/>
    <mergeCell ref="R143:S144"/>
    <mergeCell ref="A169:E169"/>
    <mergeCell ref="A195:E195"/>
    <mergeCell ref="A198:E198"/>
    <mergeCell ref="F198:G198"/>
    <mergeCell ref="H198:I198"/>
    <mergeCell ref="J198:K198"/>
    <mergeCell ref="L198:M198"/>
    <mergeCell ref="N198:O198"/>
    <mergeCell ref="P198:Q198"/>
    <mergeCell ref="F143:G143"/>
    <mergeCell ref="H143:I143"/>
    <mergeCell ref="J143:K143"/>
    <mergeCell ref="L143:M143"/>
    <mergeCell ref="N143:O143"/>
    <mergeCell ref="P143:Q143"/>
    <mergeCell ref="A327:D327"/>
    <mergeCell ref="R198:S198"/>
    <mergeCell ref="A200:D200"/>
    <mergeCell ref="A230:D230"/>
    <mergeCell ref="A260:D260"/>
    <mergeCell ref="A290:D290"/>
    <mergeCell ref="A295:D295"/>
    <mergeCell ref="A296:H296"/>
    <mergeCell ref="A298:H298"/>
    <mergeCell ref="A303:H303"/>
    <mergeCell ref="A308:H308"/>
    <mergeCell ref="A316:E316"/>
    <mergeCell ref="B343:D343"/>
    <mergeCell ref="B344:D344"/>
    <mergeCell ref="B328:D328"/>
    <mergeCell ref="B329:D329"/>
    <mergeCell ref="B330:D330"/>
    <mergeCell ref="B331:D331"/>
    <mergeCell ref="A341:D341"/>
    <mergeCell ref="B342:D342"/>
  </mergeCells>
  <phoneticPr fontId="6" type="noConversion"/>
  <pageMargins left="0.7" right="0.7" top="0.75" bottom="0.75" header="0.3" footer="0.3"/>
  <pageSetup paperSize="9" orientation="portrait" r:id="rId1"/>
  <headerFooter>
    <oddFooter>&amp;C_x000D_&amp;1#&amp;"Calibri"&amp;10&amp;K000000 Restricted : General Al-Futtaim Group</oddFoot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B042942-40B5-4F23-8B28-67C6E85166AE}">
          <x14:formula1>
            <xm:f>Lists!$C$14:$L$14</xm:f>
          </x14:formula1>
          <xm:sqref>B146:B168 B172:B194 B11:B38</xm:sqref>
        </x14:dataValidation>
        <x14:dataValidation type="list" allowBlank="1" showInputMessage="1" showErrorMessage="1" xr:uid="{884C9252-9E04-4B8C-9D1C-96C2E837D020}">
          <x14:formula1>
            <xm:f>OFFSET(Lists!$C$14, 1, MATCH($B11, Lists!$C$14:$L$14, 0)-1, COUNTA(OFFSET(Lists!$C$14, 1, MATCH($B11, Lists!$C$14:$L$14, 0)-1, 50)),1)</xm:f>
          </x14:formula1>
          <xm:sqref>C146:C168 C172:C194 C11:C38</xm:sqref>
        </x14:dataValidation>
        <x14:dataValidation type="list" allowBlank="1" showInputMessage="1" showErrorMessage="1" xr:uid="{9AD04303-E535-4ABF-A993-4E084351B56F}">
          <x14:formula1>
            <xm:f>Lists!$A$79:$A$82</xm:f>
          </x14:formula1>
          <xm:sqref>B73:B92</xm:sqref>
        </x14:dataValidation>
        <x14:dataValidation type="list" allowBlank="1" showInputMessage="1" showErrorMessage="1" xr:uid="{EFE92523-A90C-4978-9E2E-F0D8EFFB541E}">
          <x14:formula1>
            <xm:f>Lists!$A$69:$A$72</xm:f>
          </x14:formula1>
          <xm:sqref>D146:D168 D172:D194 D11:D38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8B16F-5C9F-45A3-A881-7BDF8A3C2894}">
  <dimension ref="A1:F45"/>
  <sheetViews>
    <sheetView showGridLines="0" topLeftCell="F1" workbookViewId="0">
      <selection activeCell="F1" sqref="F1:F2"/>
    </sheetView>
  </sheetViews>
  <sheetFormatPr defaultRowHeight="14.5" x14ac:dyDescent="0.35"/>
  <cols>
    <col min="1" max="1" width="4.453125" customWidth="1"/>
    <col min="2" max="2" width="54.453125" customWidth="1"/>
    <col min="3" max="3" width="12.54296875" customWidth="1"/>
    <col min="4" max="4" width="15.36328125" customWidth="1"/>
    <col min="5" max="5" width="23.6328125" customWidth="1"/>
    <col min="6" max="6" width="33.90625" customWidth="1"/>
    <col min="7" max="7" width="12.08984375" bestFit="1" customWidth="1"/>
  </cols>
  <sheetData>
    <row r="1" spans="1:6" ht="14.75" customHeight="1" x14ac:dyDescent="0.35">
      <c r="B1" s="487" t="s">
        <v>306</v>
      </c>
      <c r="C1" s="487"/>
      <c r="D1" s="487"/>
      <c r="E1" s="487"/>
      <c r="F1" s="482" t="s">
        <v>307</v>
      </c>
    </row>
    <row r="2" spans="1:6" ht="99.75" customHeight="1" x14ac:dyDescent="0.35">
      <c r="B2" s="486" t="s">
        <v>308</v>
      </c>
      <c r="C2" s="486"/>
      <c r="D2" s="486"/>
      <c r="E2" s="486"/>
      <c r="F2" s="483"/>
    </row>
    <row r="4" spans="1:6" ht="42" customHeight="1" x14ac:dyDescent="0.35">
      <c r="B4" s="47" t="s">
        <v>309</v>
      </c>
      <c r="C4" s="163" t="s">
        <v>310</v>
      </c>
    </row>
    <row r="5" spans="1:6" ht="22.5" customHeight="1" x14ac:dyDescent="0.35">
      <c r="B5" s="91" t="s">
        <v>311</v>
      </c>
      <c r="C5" s="238">
        <f>IF(C4="Method 1", E9,E45)</f>
        <v>450018.75</v>
      </c>
    </row>
    <row r="7" spans="1:6" ht="25.5" customHeight="1" x14ac:dyDescent="0.35">
      <c r="A7" s="492" t="s">
        <v>312</v>
      </c>
      <c r="B7" s="492"/>
      <c r="C7" s="492"/>
      <c r="D7" s="492"/>
      <c r="E7" s="492"/>
    </row>
    <row r="8" spans="1:6" ht="60" customHeight="1" x14ac:dyDescent="0.35">
      <c r="A8" s="484" t="s">
        <v>313</v>
      </c>
      <c r="B8" s="484"/>
      <c r="C8" s="488" t="s">
        <v>314</v>
      </c>
      <c r="D8" s="488"/>
      <c r="E8" s="356" t="s">
        <v>315</v>
      </c>
    </row>
    <row r="9" spans="1:6" ht="15" customHeight="1" x14ac:dyDescent="0.35">
      <c r="A9" s="356">
        <v>1</v>
      </c>
      <c r="B9" s="357" t="s">
        <v>316</v>
      </c>
      <c r="C9" s="489">
        <v>0.1</v>
      </c>
      <c r="D9" s="490"/>
      <c r="E9" s="491">
        <f>C9*Summary!C39</f>
        <v>450018.75</v>
      </c>
    </row>
    <row r="10" spans="1:6" ht="15.65" customHeight="1" x14ac:dyDescent="0.35">
      <c r="A10" s="356">
        <v>2</v>
      </c>
      <c r="B10" s="357" t="s">
        <v>317</v>
      </c>
      <c r="C10" s="490"/>
      <c r="D10" s="490"/>
      <c r="E10" s="491"/>
    </row>
    <row r="11" spans="1:6" x14ac:dyDescent="0.35">
      <c r="A11" s="356">
        <v>3</v>
      </c>
      <c r="B11" s="357" t="s">
        <v>318</v>
      </c>
      <c r="C11" s="358"/>
      <c r="D11" s="358"/>
      <c r="E11" s="358"/>
    </row>
    <row r="12" spans="1:6" x14ac:dyDescent="0.35">
      <c r="A12" s="356">
        <v>4</v>
      </c>
      <c r="B12" s="357" t="s">
        <v>319</v>
      </c>
      <c r="C12" s="358"/>
      <c r="D12" s="358"/>
      <c r="E12" s="358"/>
    </row>
    <row r="13" spans="1:6" x14ac:dyDescent="0.35">
      <c r="A13" s="356">
        <v>5</v>
      </c>
      <c r="B13" s="357" t="s">
        <v>320</v>
      </c>
      <c r="C13" s="358"/>
      <c r="D13" s="358"/>
      <c r="E13" s="358"/>
    </row>
    <row r="14" spans="1:6" x14ac:dyDescent="0.35">
      <c r="A14" s="356">
        <v>6</v>
      </c>
      <c r="B14" s="357" t="s">
        <v>321</v>
      </c>
      <c r="C14" s="358"/>
      <c r="D14" s="358"/>
      <c r="E14" s="358"/>
    </row>
    <row r="15" spans="1:6" x14ac:dyDescent="0.35">
      <c r="A15" s="356">
        <v>7</v>
      </c>
      <c r="B15" s="357"/>
      <c r="C15" s="358"/>
      <c r="D15" s="358"/>
      <c r="E15" s="358"/>
    </row>
    <row r="16" spans="1:6" x14ac:dyDescent="0.35">
      <c r="A16" s="356">
        <v>8</v>
      </c>
      <c r="B16" s="357"/>
      <c r="C16" s="358"/>
      <c r="D16" s="358"/>
      <c r="E16" s="358"/>
    </row>
    <row r="17" spans="1:5" x14ac:dyDescent="0.35">
      <c r="A17" s="356">
        <v>9</v>
      </c>
      <c r="B17" s="357"/>
      <c r="C17" s="358"/>
      <c r="D17" s="358"/>
      <c r="E17" s="358"/>
    </row>
    <row r="18" spans="1:5" x14ac:dyDescent="0.35">
      <c r="A18" s="356">
        <v>10</v>
      </c>
      <c r="B18" s="357"/>
      <c r="C18" s="358"/>
      <c r="D18" s="358"/>
      <c r="E18" s="358"/>
    </row>
    <row r="19" spans="1:5" x14ac:dyDescent="0.35">
      <c r="A19" s="356">
        <v>11</v>
      </c>
      <c r="B19" s="357"/>
      <c r="C19" s="358"/>
      <c r="D19" s="358"/>
      <c r="E19" s="358"/>
    </row>
    <row r="20" spans="1:5" x14ac:dyDescent="0.35">
      <c r="A20" s="356">
        <v>12</v>
      </c>
      <c r="B20" s="357"/>
      <c r="C20" s="358"/>
      <c r="D20" s="358"/>
      <c r="E20" s="358"/>
    </row>
    <row r="21" spans="1:5" x14ac:dyDescent="0.35">
      <c r="A21" s="356">
        <v>13</v>
      </c>
      <c r="B21" s="357"/>
      <c r="C21" s="358"/>
      <c r="D21" s="358"/>
      <c r="E21" s="358"/>
    </row>
    <row r="22" spans="1:5" x14ac:dyDescent="0.35">
      <c r="A22" s="356">
        <v>14</v>
      </c>
      <c r="B22" s="357"/>
      <c r="C22" s="358"/>
      <c r="D22" s="358"/>
      <c r="E22" s="358"/>
    </row>
    <row r="23" spans="1:5" x14ac:dyDescent="0.35">
      <c r="A23" s="356">
        <v>15</v>
      </c>
      <c r="B23" s="357"/>
      <c r="C23" s="358"/>
      <c r="D23" s="358"/>
      <c r="E23" s="358"/>
    </row>
    <row r="24" spans="1:5" x14ac:dyDescent="0.35">
      <c r="A24" s="359"/>
      <c r="B24" s="360"/>
      <c r="C24" s="359"/>
      <c r="D24" s="359"/>
      <c r="E24" s="359"/>
    </row>
    <row r="25" spans="1:5" ht="24" customHeight="1" x14ac:dyDescent="0.35">
      <c r="A25" s="492" t="s">
        <v>322</v>
      </c>
      <c r="B25" s="492"/>
      <c r="C25" s="492"/>
      <c r="D25" s="492"/>
      <c r="E25" s="492"/>
    </row>
    <row r="26" spans="1:5" ht="24" customHeight="1" x14ac:dyDescent="0.35">
      <c r="A26" s="484" t="s">
        <v>313</v>
      </c>
      <c r="B26" s="484"/>
      <c r="C26" s="356" t="s">
        <v>323</v>
      </c>
      <c r="D26" s="356" t="s">
        <v>324</v>
      </c>
      <c r="E26" s="356" t="s">
        <v>325</v>
      </c>
    </row>
    <row r="27" spans="1:5" x14ac:dyDescent="0.35">
      <c r="A27" s="356">
        <v>1</v>
      </c>
      <c r="B27" s="357" t="s">
        <v>316</v>
      </c>
      <c r="C27" s="362">
        <v>0</v>
      </c>
      <c r="D27" s="363">
        <v>0</v>
      </c>
      <c r="E27" s="363">
        <f t="shared" ref="E27:E32" si="0">D27*C27</f>
        <v>0</v>
      </c>
    </row>
    <row r="28" spans="1:5" x14ac:dyDescent="0.35">
      <c r="A28" s="356">
        <v>2</v>
      </c>
      <c r="B28" s="357" t="s">
        <v>317</v>
      </c>
      <c r="C28" s="362">
        <v>0.2</v>
      </c>
      <c r="D28" s="363">
        <v>5000</v>
      </c>
      <c r="E28" s="363">
        <f t="shared" si="0"/>
        <v>1000</v>
      </c>
    </row>
    <row r="29" spans="1:5" x14ac:dyDescent="0.35">
      <c r="A29" s="356">
        <v>3</v>
      </c>
      <c r="B29" s="357" t="s">
        <v>318</v>
      </c>
      <c r="C29" s="362">
        <v>0.3</v>
      </c>
      <c r="D29" s="363">
        <v>100000</v>
      </c>
      <c r="E29" s="363">
        <f t="shared" si="0"/>
        <v>30000</v>
      </c>
    </row>
    <row r="30" spans="1:5" x14ac:dyDescent="0.35">
      <c r="A30" s="356">
        <v>4</v>
      </c>
      <c r="B30" s="357" t="s">
        <v>319</v>
      </c>
      <c r="C30" s="362">
        <v>0.4</v>
      </c>
      <c r="D30" s="363">
        <v>2000</v>
      </c>
      <c r="E30" s="363">
        <f t="shared" si="0"/>
        <v>800</v>
      </c>
    </row>
    <row r="31" spans="1:5" x14ac:dyDescent="0.35">
      <c r="A31" s="356">
        <v>5</v>
      </c>
      <c r="B31" s="357" t="s">
        <v>320</v>
      </c>
      <c r="C31" s="362">
        <v>0</v>
      </c>
      <c r="D31" s="363">
        <v>0</v>
      </c>
      <c r="E31" s="363">
        <f t="shared" si="0"/>
        <v>0</v>
      </c>
    </row>
    <row r="32" spans="1:5" x14ac:dyDescent="0.35">
      <c r="A32" s="356">
        <v>6</v>
      </c>
      <c r="B32" s="357" t="s">
        <v>321</v>
      </c>
      <c r="C32" s="362">
        <v>0</v>
      </c>
      <c r="D32" s="363">
        <v>0</v>
      </c>
      <c r="E32" s="363">
        <f t="shared" si="0"/>
        <v>0</v>
      </c>
    </row>
    <row r="33" spans="1:5" x14ac:dyDescent="0.35">
      <c r="A33" s="356">
        <v>7</v>
      </c>
      <c r="B33" s="357"/>
      <c r="C33" s="357"/>
      <c r="D33" s="357"/>
      <c r="E33" s="357"/>
    </row>
    <row r="34" spans="1:5" x14ac:dyDescent="0.35">
      <c r="A34" s="356">
        <v>8</v>
      </c>
      <c r="B34" s="357"/>
      <c r="C34" s="357"/>
      <c r="D34" s="357"/>
      <c r="E34" s="357"/>
    </row>
    <row r="35" spans="1:5" x14ac:dyDescent="0.35">
      <c r="A35" s="356">
        <v>9</v>
      </c>
      <c r="B35" s="357"/>
      <c r="C35" s="357"/>
      <c r="D35" s="357"/>
      <c r="E35" s="357"/>
    </row>
    <row r="36" spans="1:5" x14ac:dyDescent="0.35">
      <c r="A36" s="356">
        <v>10</v>
      </c>
      <c r="B36" s="357"/>
      <c r="C36" s="357"/>
      <c r="D36" s="357"/>
      <c r="E36" s="357"/>
    </row>
    <row r="37" spans="1:5" x14ac:dyDescent="0.35">
      <c r="A37" s="356">
        <v>11</v>
      </c>
      <c r="B37" s="357"/>
      <c r="C37" s="357"/>
      <c r="D37" s="357"/>
      <c r="E37" s="357"/>
    </row>
    <row r="38" spans="1:5" x14ac:dyDescent="0.35">
      <c r="A38" s="356">
        <v>12</v>
      </c>
      <c r="B38" s="357"/>
      <c r="C38" s="357"/>
      <c r="D38" s="357"/>
      <c r="E38" s="357"/>
    </row>
    <row r="39" spans="1:5" x14ac:dyDescent="0.35">
      <c r="A39" s="356">
        <v>13</v>
      </c>
      <c r="B39" s="357"/>
      <c r="C39" s="357"/>
      <c r="D39" s="357"/>
      <c r="E39" s="357"/>
    </row>
    <row r="40" spans="1:5" x14ac:dyDescent="0.35">
      <c r="A40" s="356">
        <v>14</v>
      </c>
      <c r="B40" s="357"/>
      <c r="C40" s="357"/>
      <c r="D40" s="357"/>
      <c r="E40" s="357"/>
    </row>
    <row r="41" spans="1:5" x14ac:dyDescent="0.35">
      <c r="A41" s="356">
        <v>15</v>
      </c>
      <c r="B41" s="357"/>
      <c r="C41" s="357"/>
      <c r="D41" s="357"/>
      <c r="E41" s="357"/>
    </row>
    <row r="42" spans="1:5" x14ac:dyDescent="0.35">
      <c r="A42" s="356">
        <v>16</v>
      </c>
      <c r="B42" s="357"/>
      <c r="C42" s="357"/>
      <c r="D42" s="357"/>
      <c r="E42" s="357"/>
    </row>
    <row r="43" spans="1:5" x14ac:dyDescent="0.35">
      <c r="A43" s="356">
        <v>17</v>
      </c>
      <c r="B43" s="357"/>
      <c r="C43" s="357"/>
      <c r="D43" s="357"/>
      <c r="E43" s="357"/>
    </row>
    <row r="44" spans="1:5" x14ac:dyDescent="0.35">
      <c r="A44" s="356">
        <v>18</v>
      </c>
      <c r="B44" s="357"/>
      <c r="C44" s="357"/>
      <c r="D44" s="357"/>
      <c r="E44" s="357"/>
    </row>
    <row r="45" spans="1:5" x14ac:dyDescent="0.35">
      <c r="C45" s="485" t="s">
        <v>326</v>
      </c>
      <c r="D45" s="485"/>
      <c r="E45" s="361">
        <f>SUM(E27:E44)</f>
        <v>31800</v>
      </c>
    </row>
  </sheetData>
  <mergeCells count="11">
    <mergeCell ref="F1:F2"/>
    <mergeCell ref="A26:B26"/>
    <mergeCell ref="C45:D45"/>
    <mergeCell ref="B2:E2"/>
    <mergeCell ref="B1:E1"/>
    <mergeCell ref="A8:B8"/>
    <mergeCell ref="C8:D8"/>
    <mergeCell ref="C9:D10"/>
    <mergeCell ref="E9:E10"/>
    <mergeCell ref="A7:E7"/>
    <mergeCell ref="A25:E25"/>
  </mergeCells>
  <pageMargins left="0.7" right="0.7" top="0.75" bottom="0.75" header="0.3" footer="0.3"/>
  <pageSetup paperSize="9" orientation="portrait" r:id="rId1"/>
  <headerFooter>
    <oddFooter>&amp;C_x000D_&amp;1#&amp;"Calibri"&amp;10&amp;K000000 Restricted : General Al-Futtaim Group</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A3FFBA-B999-4B06-BB08-3659D507D145}">
          <x14:formula1>
            <xm:f>Lists!$D$3:$D$4</xm:f>
          </x14:formula1>
          <xm:sqref>C4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0C632-B400-496D-BE27-88D91F557A5B}">
  <dimension ref="A1:P43"/>
  <sheetViews>
    <sheetView topLeftCell="A14" zoomScale="90" zoomScaleNormal="90" workbookViewId="0">
      <selection activeCell="K41" sqref="K41"/>
    </sheetView>
  </sheetViews>
  <sheetFormatPr defaultColWidth="8.6328125" defaultRowHeight="14.5" x14ac:dyDescent="0.35"/>
  <cols>
    <col min="1" max="1" width="34.453125" bestFit="1" customWidth="1"/>
    <col min="2" max="2" width="24.6328125" bestFit="1" customWidth="1"/>
    <col min="3" max="5" width="24.6328125" customWidth="1"/>
    <col min="6" max="6" width="19.453125" customWidth="1"/>
    <col min="7" max="8" width="21.54296875" customWidth="1"/>
    <col min="9" max="9" width="21" style="3" customWidth="1"/>
    <col min="10" max="10" width="10.36328125" style="3" bestFit="1" customWidth="1"/>
    <col min="11" max="11" width="13.453125" customWidth="1"/>
    <col min="13" max="13" width="0" hidden="1" customWidth="1"/>
    <col min="14" max="14" width="7.453125" hidden="1" customWidth="1"/>
    <col min="15" max="15" width="9.6328125" hidden="1" customWidth="1"/>
    <col min="16" max="16" width="10.36328125" hidden="1" customWidth="1"/>
    <col min="17" max="17" width="0" hidden="1" customWidth="1"/>
  </cols>
  <sheetData>
    <row r="1" spans="1:16" ht="15.5" x14ac:dyDescent="0.35">
      <c r="A1" s="149" t="s">
        <v>327</v>
      </c>
      <c r="B1" s="150" t="s">
        <v>328</v>
      </c>
      <c r="C1" s="151"/>
      <c r="D1" s="152"/>
      <c r="E1" s="122"/>
      <c r="F1" s="122"/>
      <c r="G1" s="122"/>
      <c r="H1" s="122"/>
      <c r="I1" s="122"/>
      <c r="J1" s="122"/>
      <c r="K1" s="122"/>
      <c r="L1" s="122"/>
      <c r="M1" s="122"/>
      <c r="N1" s="122"/>
    </row>
    <row r="2" spans="1:16" ht="20.149999999999999" customHeight="1" x14ac:dyDescent="0.35">
      <c r="A2" s="149"/>
      <c r="B2" s="150" t="s">
        <v>329</v>
      </c>
      <c r="C2" s="151"/>
      <c r="D2" s="152"/>
      <c r="E2" s="122"/>
      <c r="F2" s="122"/>
      <c r="G2" s="122"/>
      <c r="H2" s="122"/>
      <c r="I2" s="122"/>
      <c r="J2" s="122"/>
      <c r="K2" s="122"/>
      <c r="L2" s="122"/>
      <c r="M2" s="122"/>
      <c r="N2" s="122"/>
    </row>
    <row r="3" spans="1:16" x14ac:dyDescent="0.35">
      <c r="A3" s="456" t="s">
        <v>330</v>
      </c>
      <c r="B3" s="456"/>
      <c r="C3" s="456"/>
      <c r="D3" s="456"/>
      <c r="E3" s="456"/>
      <c r="F3" s="456"/>
      <c r="G3" s="16"/>
      <c r="H3" s="16"/>
      <c r="I3" s="16"/>
      <c r="J3"/>
    </row>
    <row r="4" spans="1:16" ht="18.649999999999999" customHeight="1" x14ac:dyDescent="0.35">
      <c r="A4" s="497"/>
      <c r="B4" s="497"/>
      <c r="C4" s="497"/>
      <c r="D4" s="497"/>
      <c r="E4" s="497"/>
      <c r="F4" s="497"/>
      <c r="G4" s="108"/>
      <c r="H4" s="16"/>
      <c r="I4" s="16"/>
      <c r="J4"/>
    </row>
    <row r="5" spans="1:16" x14ac:dyDescent="0.35">
      <c r="A5" s="498" t="s">
        <v>153</v>
      </c>
      <c r="B5" s="499"/>
      <c r="C5" s="499"/>
      <c r="D5" s="499"/>
      <c r="E5" s="499"/>
      <c r="F5" s="500"/>
      <c r="G5" s="167">
        <v>6</v>
      </c>
      <c r="H5" s="44"/>
    </row>
    <row r="6" spans="1:16" ht="4.25" customHeight="1" x14ac:dyDescent="0.35">
      <c r="A6" s="4"/>
      <c r="B6" s="4"/>
      <c r="C6" s="10"/>
      <c r="D6" s="19"/>
      <c r="E6" s="19"/>
      <c r="F6" s="19"/>
      <c r="G6" s="11"/>
      <c r="H6" s="11"/>
      <c r="I6" s="6"/>
      <c r="J6" s="6"/>
    </row>
    <row r="7" spans="1:16" ht="39" customHeight="1" x14ac:dyDescent="0.35">
      <c r="A7" s="425" t="s">
        <v>154</v>
      </c>
      <c r="B7" s="425" t="s">
        <v>155</v>
      </c>
      <c r="C7" s="425" t="s">
        <v>156</v>
      </c>
      <c r="D7" s="425" t="s">
        <v>157</v>
      </c>
      <c r="E7" s="425" t="s">
        <v>158</v>
      </c>
      <c r="F7" s="20" t="s">
        <v>159</v>
      </c>
      <c r="G7" s="20" t="s">
        <v>160</v>
      </c>
      <c r="H7" s="20" t="s">
        <v>161</v>
      </c>
      <c r="I7" s="20" t="s">
        <v>162</v>
      </c>
      <c r="J7" s="494" t="s">
        <v>163</v>
      </c>
      <c r="K7" s="494" t="s">
        <v>164</v>
      </c>
    </row>
    <row r="8" spans="1:16" ht="101.5" x14ac:dyDescent="0.35">
      <c r="A8" s="426"/>
      <c r="B8" s="426"/>
      <c r="C8" s="426"/>
      <c r="D8" s="426"/>
      <c r="E8" s="426"/>
      <c r="F8" s="20"/>
      <c r="G8" s="42" t="s">
        <v>165</v>
      </c>
      <c r="H8" s="42" t="s">
        <v>166</v>
      </c>
      <c r="I8" s="42" t="s">
        <v>167</v>
      </c>
      <c r="J8" s="495"/>
      <c r="K8" s="495"/>
    </row>
    <row r="9" spans="1:16" ht="12.65" customHeight="1" x14ac:dyDescent="0.35">
      <c r="A9" s="426"/>
      <c r="B9" s="426"/>
      <c r="C9" s="426"/>
      <c r="D9" s="426"/>
      <c r="E9" s="426"/>
      <c r="F9" s="164">
        <v>0</v>
      </c>
      <c r="G9" s="164">
        <v>90</v>
      </c>
      <c r="H9" s="164">
        <f>30*30</f>
        <v>900</v>
      </c>
      <c r="I9" s="164">
        <v>60</v>
      </c>
      <c r="J9" s="495"/>
      <c r="K9" s="495"/>
    </row>
    <row r="10" spans="1:16" ht="12.65" customHeight="1" x14ac:dyDescent="0.35">
      <c r="A10" s="445"/>
      <c r="B10" s="445"/>
      <c r="C10" s="445"/>
      <c r="D10" s="445"/>
      <c r="E10" s="445"/>
      <c r="F10" s="37" t="s">
        <v>168</v>
      </c>
      <c r="G10" s="37" t="s">
        <v>168</v>
      </c>
      <c r="H10" s="37" t="s">
        <v>168</v>
      </c>
      <c r="I10" s="37" t="s">
        <v>168</v>
      </c>
      <c r="J10" s="496"/>
      <c r="K10" s="496"/>
      <c r="M10" t="s">
        <v>302</v>
      </c>
      <c r="N10" t="s">
        <v>172</v>
      </c>
      <c r="O10" t="s">
        <v>303</v>
      </c>
      <c r="P10" t="s">
        <v>304</v>
      </c>
    </row>
    <row r="11" spans="1:16" ht="22.25" customHeight="1" x14ac:dyDescent="0.35">
      <c r="A11" s="165" t="s">
        <v>169</v>
      </c>
      <c r="B11" s="168" t="s">
        <v>174</v>
      </c>
      <c r="C11" s="168" t="s">
        <v>169</v>
      </c>
      <c r="D11" s="169" t="s">
        <v>172</v>
      </c>
      <c r="E11" s="21">
        <f>VLOOKUP(C11,Lists!$Q$5:$U$25, MATCH(D11,Lists!$Q$4:$U$4,0),0)</f>
        <v>2700</v>
      </c>
      <c r="F11" s="155">
        <v>0</v>
      </c>
      <c r="G11" s="155">
        <f>20*3</f>
        <v>60</v>
      </c>
      <c r="H11" s="155">
        <f>30*20</f>
        <v>600</v>
      </c>
      <c r="I11" s="156">
        <f>20*2</f>
        <v>40</v>
      </c>
      <c r="J11" s="36">
        <f>SUM(F11:I11)</f>
        <v>700</v>
      </c>
      <c r="K11" s="12">
        <f t="shared" ref="K11:K33" si="0">J11*E11</f>
        <v>1890000</v>
      </c>
      <c r="M11">
        <f>IF(C11="Project Manager/ Scrum Master", K11,IF(C11="Program Manager",K11,0))</f>
        <v>1890000</v>
      </c>
      <c r="N11">
        <f>IF(D11="Internal", K11,0)</f>
        <v>1890000</v>
      </c>
      <c r="O11">
        <f>IF(D11="External - onsite", K11,0)</f>
        <v>0</v>
      </c>
      <c r="P11">
        <f>IF(D11="External - Offshore", K11,IF(D11="External - Nearshore",K11,0))</f>
        <v>0</v>
      </c>
    </row>
    <row r="12" spans="1:16" ht="22.25" customHeight="1" x14ac:dyDescent="0.35">
      <c r="A12" s="165" t="s">
        <v>173</v>
      </c>
      <c r="B12" s="168" t="s">
        <v>174</v>
      </c>
      <c r="C12" s="168" t="s">
        <v>169</v>
      </c>
      <c r="D12" s="169" t="s">
        <v>172</v>
      </c>
      <c r="E12" s="21">
        <f>VLOOKUP(C12,Lists!$Q$5:$U$25, MATCH(D12,Lists!$Q$4:$U$4,0),0)</f>
        <v>2700</v>
      </c>
      <c r="F12" s="155">
        <v>0</v>
      </c>
      <c r="G12" s="155">
        <f>20*3</f>
        <v>60</v>
      </c>
      <c r="H12" s="155">
        <f>30*20</f>
        <v>600</v>
      </c>
      <c r="I12" s="156">
        <f>20*2</f>
        <v>40</v>
      </c>
      <c r="J12" s="21">
        <f>SUM(F12:I12)</f>
        <v>700</v>
      </c>
      <c r="K12" s="12">
        <f t="shared" si="0"/>
        <v>1890000</v>
      </c>
      <c r="M12">
        <f t="shared" ref="M12:M33" si="1">IF(C12="Project Manager/ Scrum Master", K12,IF(C12="Program Manager",K12,0))</f>
        <v>1890000</v>
      </c>
      <c r="N12">
        <f t="shared" ref="N12:N33" si="2">IF(D12="Internal", K12,0)</f>
        <v>1890000</v>
      </c>
      <c r="O12">
        <f t="shared" ref="O12:O33" si="3">IF(D12="External - onsite", K12,0)</f>
        <v>0</v>
      </c>
      <c r="P12">
        <f t="shared" ref="P12:P33" si="4">IF(D12="External - Offshore", K12,IF(D12="External - Nearshore",K12,0))</f>
        <v>0</v>
      </c>
    </row>
    <row r="13" spans="1:16" ht="22.25" customHeight="1" x14ac:dyDescent="0.35">
      <c r="A13" s="165" t="s">
        <v>176</v>
      </c>
      <c r="B13" s="168" t="s">
        <v>174</v>
      </c>
      <c r="C13" s="168" t="s">
        <v>177</v>
      </c>
      <c r="D13" s="169" t="s">
        <v>172</v>
      </c>
      <c r="E13" s="21">
        <f>VLOOKUP(C13,Lists!$Q$5:$U$25, MATCH(D13,Lists!$Q$4:$U$4,0),0)</f>
        <v>2422</v>
      </c>
      <c r="F13" s="155">
        <v>0</v>
      </c>
      <c r="G13" s="155">
        <f>20*1*0.25</f>
        <v>5</v>
      </c>
      <c r="H13" s="155">
        <f>20*5*0.25</f>
        <v>25</v>
      </c>
      <c r="I13" s="156">
        <f>10*0.5</f>
        <v>5</v>
      </c>
      <c r="J13" s="21">
        <f t="shared" ref="J13:J33" si="5">SUM(F13:I13)</f>
        <v>35</v>
      </c>
      <c r="K13" s="12">
        <f t="shared" si="0"/>
        <v>84770</v>
      </c>
      <c r="M13">
        <f t="shared" si="1"/>
        <v>84770</v>
      </c>
      <c r="N13">
        <f t="shared" si="2"/>
        <v>84770</v>
      </c>
      <c r="O13">
        <f t="shared" si="3"/>
        <v>0</v>
      </c>
      <c r="P13">
        <f t="shared" si="4"/>
        <v>0</v>
      </c>
    </row>
    <row r="14" spans="1:16" ht="22.25" customHeight="1" x14ac:dyDescent="0.35">
      <c r="A14" s="165" t="s">
        <v>178</v>
      </c>
      <c r="B14" s="168" t="s">
        <v>174</v>
      </c>
      <c r="C14" s="168" t="s">
        <v>177</v>
      </c>
      <c r="D14" s="169" t="s">
        <v>172</v>
      </c>
      <c r="E14" s="21">
        <f>VLOOKUP(C14,Lists!$Q$5:$U$25, MATCH(D14,Lists!$Q$4:$U$4,0),0)</f>
        <v>2422</v>
      </c>
      <c r="F14" s="155">
        <v>0</v>
      </c>
      <c r="G14" s="155">
        <f>20*1*0.25</f>
        <v>5</v>
      </c>
      <c r="H14" s="155">
        <f>20*5*0.25</f>
        <v>25</v>
      </c>
      <c r="I14" s="156">
        <f>10*0.5</f>
        <v>5</v>
      </c>
      <c r="J14" s="21">
        <f t="shared" si="5"/>
        <v>35</v>
      </c>
      <c r="K14" s="12">
        <f t="shared" si="0"/>
        <v>84770</v>
      </c>
      <c r="M14">
        <f t="shared" si="1"/>
        <v>84770</v>
      </c>
      <c r="N14">
        <f t="shared" si="2"/>
        <v>84770</v>
      </c>
      <c r="O14">
        <f t="shared" si="3"/>
        <v>0</v>
      </c>
      <c r="P14">
        <f t="shared" si="4"/>
        <v>0</v>
      </c>
    </row>
    <row r="15" spans="1:16" ht="22.25" customHeight="1" x14ac:dyDescent="0.35">
      <c r="A15" s="165" t="s">
        <v>179</v>
      </c>
      <c r="B15" s="168" t="s">
        <v>174</v>
      </c>
      <c r="C15" s="168" t="s">
        <v>177</v>
      </c>
      <c r="D15" s="169" t="s">
        <v>172</v>
      </c>
      <c r="E15" s="21">
        <f>VLOOKUP(C15,Lists!$Q$5:$U$25, MATCH(D15,Lists!$Q$4:$U$4,0),0)</f>
        <v>2422</v>
      </c>
      <c r="F15" s="155">
        <v>0</v>
      </c>
      <c r="G15" s="155">
        <f>20*1*0.5</f>
        <v>10</v>
      </c>
      <c r="H15" s="155">
        <f>20*18*0.5</f>
        <v>180</v>
      </c>
      <c r="I15" s="156">
        <f>10*0.5</f>
        <v>5</v>
      </c>
      <c r="J15" s="21">
        <f t="shared" si="5"/>
        <v>195</v>
      </c>
      <c r="K15" s="12">
        <f t="shared" si="0"/>
        <v>472290</v>
      </c>
      <c r="M15">
        <f t="shared" si="1"/>
        <v>472290</v>
      </c>
      <c r="N15">
        <f t="shared" si="2"/>
        <v>472290</v>
      </c>
      <c r="O15">
        <f t="shared" si="3"/>
        <v>0</v>
      </c>
      <c r="P15">
        <f t="shared" si="4"/>
        <v>0</v>
      </c>
    </row>
    <row r="16" spans="1:16" ht="22.25" customHeight="1" x14ac:dyDescent="0.35">
      <c r="A16" s="165" t="s">
        <v>181</v>
      </c>
      <c r="B16" s="168" t="s">
        <v>182</v>
      </c>
      <c r="C16" s="168" t="s">
        <v>183</v>
      </c>
      <c r="D16" s="169" t="s">
        <v>172</v>
      </c>
      <c r="E16" s="21">
        <f>VLOOKUP(C16,Lists!$Q$5:$U$25, MATCH(D16,Lists!$Q$4:$U$4,0),0)</f>
        <v>2857</v>
      </c>
      <c r="F16" s="155"/>
      <c r="G16" s="155"/>
      <c r="H16" s="155"/>
      <c r="I16" s="156"/>
      <c r="J16" s="21">
        <f t="shared" si="5"/>
        <v>0</v>
      </c>
      <c r="K16" s="12">
        <f t="shared" si="0"/>
        <v>0</v>
      </c>
      <c r="M16">
        <f t="shared" si="1"/>
        <v>0</v>
      </c>
      <c r="N16">
        <f t="shared" si="2"/>
        <v>0</v>
      </c>
      <c r="O16">
        <f t="shared" si="3"/>
        <v>0</v>
      </c>
      <c r="P16">
        <f t="shared" si="4"/>
        <v>0</v>
      </c>
    </row>
    <row r="17" spans="1:16" ht="22.25" customHeight="1" x14ac:dyDescent="0.35">
      <c r="A17" s="165" t="s">
        <v>184</v>
      </c>
      <c r="B17" s="168" t="s">
        <v>182</v>
      </c>
      <c r="C17" s="168" t="s">
        <v>185</v>
      </c>
      <c r="D17" s="169" t="s">
        <v>172</v>
      </c>
      <c r="E17" s="21">
        <f>VLOOKUP(C17,Lists!$Q$5:$U$25, MATCH(D17,Lists!$Q$4:$U$4,0),0)</f>
        <v>2757</v>
      </c>
      <c r="F17" s="155">
        <v>0</v>
      </c>
      <c r="G17" s="155">
        <v>0.5</v>
      </c>
      <c r="H17" s="155"/>
      <c r="I17" s="156"/>
      <c r="J17" s="21">
        <f t="shared" si="5"/>
        <v>0.5</v>
      </c>
      <c r="K17" s="12">
        <f t="shared" si="0"/>
        <v>1378.5</v>
      </c>
      <c r="M17">
        <f t="shared" si="1"/>
        <v>0</v>
      </c>
      <c r="N17">
        <f t="shared" si="2"/>
        <v>1378.5</v>
      </c>
      <c r="O17">
        <f t="shared" si="3"/>
        <v>0</v>
      </c>
      <c r="P17">
        <f t="shared" si="4"/>
        <v>0</v>
      </c>
    </row>
    <row r="18" spans="1:16" ht="22.25" customHeight="1" x14ac:dyDescent="0.35">
      <c r="A18" s="165" t="s">
        <v>186</v>
      </c>
      <c r="B18" s="168" t="s">
        <v>187</v>
      </c>
      <c r="C18" s="168" t="s">
        <v>188</v>
      </c>
      <c r="D18" s="169" t="s">
        <v>189</v>
      </c>
      <c r="E18" s="21">
        <f>VLOOKUP(C18,Lists!$Q$5:$U$25, MATCH(D18,Lists!$Q$4:$U$4,0),0)</f>
        <v>1850</v>
      </c>
      <c r="F18" s="155"/>
      <c r="G18" s="155"/>
      <c r="H18" s="155"/>
      <c r="I18" s="156"/>
      <c r="J18" s="21">
        <f t="shared" si="5"/>
        <v>0</v>
      </c>
      <c r="K18" s="12">
        <f t="shared" si="0"/>
        <v>0</v>
      </c>
      <c r="M18">
        <f t="shared" si="1"/>
        <v>0</v>
      </c>
      <c r="N18">
        <f t="shared" si="2"/>
        <v>0</v>
      </c>
      <c r="O18">
        <f t="shared" si="3"/>
        <v>0</v>
      </c>
      <c r="P18">
        <f t="shared" si="4"/>
        <v>0</v>
      </c>
    </row>
    <row r="19" spans="1:16" ht="22.25" customHeight="1" x14ac:dyDescent="0.35">
      <c r="A19" s="165" t="s">
        <v>190</v>
      </c>
      <c r="B19" s="168" t="s">
        <v>187</v>
      </c>
      <c r="C19" s="168" t="s">
        <v>188</v>
      </c>
      <c r="D19" s="169" t="s">
        <v>172</v>
      </c>
      <c r="E19" s="21">
        <f>VLOOKUP(C19,Lists!$Q$5:$U$25, MATCH(D19,Lists!$Q$4:$U$4,0),0)</f>
        <v>2224</v>
      </c>
      <c r="F19" s="155">
        <v>0</v>
      </c>
      <c r="G19" s="155">
        <v>1</v>
      </c>
      <c r="H19" s="155"/>
      <c r="I19" s="156"/>
      <c r="J19" s="21">
        <f t="shared" si="5"/>
        <v>1</v>
      </c>
      <c r="K19" s="12">
        <f t="shared" si="0"/>
        <v>2224</v>
      </c>
      <c r="M19">
        <f t="shared" si="1"/>
        <v>0</v>
      </c>
      <c r="N19">
        <f t="shared" si="2"/>
        <v>2224</v>
      </c>
      <c r="O19">
        <f t="shared" si="3"/>
        <v>0</v>
      </c>
      <c r="P19">
        <f t="shared" si="4"/>
        <v>0</v>
      </c>
    </row>
    <row r="20" spans="1:16" ht="22.25" customHeight="1" x14ac:dyDescent="0.35">
      <c r="A20" s="165" t="s">
        <v>191</v>
      </c>
      <c r="B20" s="168" t="s">
        <v>187</v>
      </c>
      <c r="C20" s="168" t="s">
        <v>192</v>
      </c>
      <c r="D20" s="169" t="s">
        <v>172</v>
      </c>
      <c r="E20" s="21">
        <f>VLOOKUP(C20,Lists!$Q$5:$U$25, MATCH(D20,Lists!$Q$4:$U$4,0),0)</f>
        <v>2175</v>
      </c>
      <c r="F20" s="155"/>
      <c r="G20" s="155"/>
      <c r="H20" s="155"/>
      <c r="I20" s="156"/>
      <c r="J20" s="21">
        <f t="shared" si="5"/>
        <v>0</v>
      </c>
      <c r="K20" s="12">
        <f t="shared" si="0"/>
        <v>0</v>
      </c>
      <c r="M20">
        <f t="shared" si="1"/>
        <v>0</v>
      </c>
      <c r="N20">
        <f t="shared" si="2"/>
        <v>0</v>
      </c>
      <c r="O20">
        <f t="shared" si="3"/>
        <v>0</v>
      </c>
      <c r="P20">
        <f t="shared" si="4"/>
        <v>0</v>
      </c>
    </row>
    <row r="21" spans="1:16" ht="22.25" customHeight="1" x14ac:dyDescent="0.35">
      <c r="A21" s="165" t="s">
        <v>193</v>
      </c>
      <c r="B21" s="168" t="s">
        <v>170</v>
      </c>
      <c r="C21" s="168" t="s">
        <v>194</v>
      </c>
      <c r="D21" s="169" t="s">
        <v>172</v>
      </c>
      <c r="E21" s="21">
        <f>VLOOKUP(C21,Lists!$Q$5:$U$25, MATCH(D21,Lists!$Q$4:$U$4,0),0)</f>
        <v>2575</v>
      </c>
      <c r="F21" s="155"/>
      <c r="G21" s="155"/>
      <c r="H21" s="155"/>
      <c r="I21" s="156"/>
      <c r="J21" s="21">
        <f t="shared" si="5"/>
        <v>0</v>
      </c>
      <c r="K21" s="12">
        <f t="shared" si="0"/>
        <v>0</v>
      </c>
      <c r="M21">
        <f t="shared" si="1"/>
        <v>0</v>
      </c>
      <c r="N21">
        <f t="shared" si="2"/>
        <v>0</v>
      </c>
      <c r="O21">
        <f t="shared" si="3"/>
        <v>0</v>
      </c>
      <c r="P21">
        <f t="shared" si="4"/>
        <v>0</v>
      </c>
    </row>
    <row r="22" spans="1:16" ht="22.25" customHeight="1" x14ac:dyDescent="0.35">
      <c r="A22" s="165" t="s">
        <v>195</v>
      </c>
      <c r="B22" s="168" t="s">
        <v>170</v>
      </c>
      <c r="C22" s="168" t="s">
        <v>194</v>
      </c>
      <c r="D22" s="169" t="s">
        <v>172</v>
      </c>
      <c r="E22" s="21">
        <f>VLOOKUP(C22,Lists!$Q$5:$U$25, MATCH(D22,Lists!$Q$4:$U$4,0),0)</f>
        <v>2575</v>
      </c>
      <c r="F22" s="155"/>
      <c r="G22" s="155">
        <v>1</v>
      </c>
      <c r="H22" s="155"/>
      <c r="I22" s="156"/>
      <c r="J22" s="21">
        <f t="shared" si="5"/>
        <v>1</v>
      </c>
      <c r="K22" s="12">
        <f t="shared" si="0"/>
        <v>2575</v>
      </c>
      <c r="M22">
        <f t="shared" si="1"/>
        <v>0</v>
      </c>
      <c r="N22">
        <f t="shared" si="2"/>
        <v>2575</v>
      </c>
      <c r="O22">
        <f t="shared" si="3"/>
        <v>0</v>
      </c>
      <c r="P22">
        <f t="shared" si="4"/>
        <v>0</v>
      </c>
    </row>
    <row r="23" spans="1:16" ht="22.25" customHeight="1" x14ac:dyDescent="0.35">
      <c r="A23" s="165"/>
      <c r="B23" s="168" t="s">
        <v>187</v>
      </c>
      <c r="C23" s="168" t="s">
        <v>192</v>
      </c>
      <c r="D23" s="169" t="s">
        <v>189</v>
      </c>
      <c r="E23" s="21">
        <f>VLOOKUP(C23,Lists!$Q$5:$U$25, MATCH(D23,Lists!$Q$4:$U$4,0),0)</f>
        <v>1850</v>
      </c>
      <c r="F23" s="155"/>
      <c r="G23" s="155"/>
      <c r="H23" s="155"/>
      <c r="I23" s="156"/>
      <c r="J23" s="21">
        <f t="shared" si="5"/>
        <v>0</v>
      </c>
      <c r="K23" s="12">
        <f t="shared" si="0"/>
        <v>0</v>
      </c>
      <c r="M23">
        <f t="shared" si="1"/>
        <v>0</v>
      </c>
      <c r="N23">
        <f t="shared" si="2"/>
        <v>0</v>
      </c>
      <c r="O23">
        <f t="shared" si="3"/>
        <v>0</v>
      </c>
      <c r="P23">
        <f t="shared" si="4"/>
        <v>0</v>
      </c>
    </row>
    <row r="24" spans="1:16" ht="22.25" customHeight="1" x14ac:dyDescent="0.35">
      <c r="A24" s="165"/>
      <c r="B24" s="168" t="s">
        <v>174</v>
      </c>
      <c r="C24" s="168" t="s">
        <v>177</v>
      </c>
      <c r="D24" s="169" t="s">
        <v>180</v>
      </c>
      <c r="E24" s="21">
        <f>VLOOKUP(C24,Lists!$Q$5:$U$25, MATCH(D24,Lists!$Q$4:$U$4,0),0)</f>
        <v>615</v>
      </c>
      <c r="F24" s="155"/>
      <c r="G24" s="155"/>
      <c r="H24" s="155"/>
      <c r="I24" s="156"/>
      <c r="J24" s="21">
        <f t="shared" si="5"/>
        <v>0</v>
      </c>
      <c r="K24" s="12">
        <f t="shared" si="0"/>
        <v>0</v>
      </c>
      <c r="M24">
        <f t="shared" si="1"/>
        <v>0</v>
      </c>
      <c r="N24">
        <f t="shared" si="2"/>
        <v>0</v>
      </c>
      <c r="O24">
        <f t="shared" si="3"/>
        <v>0</v>
      </c>
      <c r="P24">
        <f t="shared" si="4"/>
        <v>0</v>
      </c>
    </row>
    <row r="25" spans="1:16" ht="22.25" customHeight="1" x14ac:dyDescent="0.35">
      <c r="A25" s="165"/>
      <c r="B25" s="168" t="s">
        <v>170</v>
      </c>
      <c r="C25" s="168" t="s">
        <v>171</v>
      </c>
      <c r="D25" s="169" t="s">
        <v>172</v>
      </c>
      <c r="E25" s="21">
        <f>VLOOKUP(C25,Lists!$Q$5:$U$25, MATCH(D25,Lists!$Q$4:$U$4,0),0)</f>
        <v>2900</v>
      </c>
      <c r="F25" s="155"/>
      <c r="G25" s="155"/>
      <c r="H25" s="155"/>
      <c r="I25" s="156"/>
      <c r="J25" s="21">
        <f t="shared" si="5"/>
        <v>0</v>
      </c>
      <c r="K25" s="12">
        <f t="shared" si="0"/>
        <v>0</v>
      </c>
      <c r="M25">
        <f t="shared" si="1"/>
        <v>0</v>
      </c>
      <c r="N25">
        <f t="shared" si="2"/>
        <v>0</v>
      </c>
      <c r="O25">
        <f t="shared" si="3"/>
        <v>0</v>
      </c>
      <c r="P25">
        <f t="shared" si="4"/>
        <v>0</v>
      </c>
    </row>
    <row r="26" spans="1:16" ht="22.25" customHeight="1" x14ac:dyDescent="0.35">
      <c r="A26" s="165"/>
      <c r="B26" s="168" t="s">
        <v>196</v>
      </c>
      <c r="C26" s="168" t="s">
        <v>197</v>
      </c>
      <c r="D26" s="169" t="s">
        <v>172</v>
      </c>
      <c r="E26" s="21">
        <f>VLOOKUP(C26,Lists!$Q$5:$U$25, MATCH(D26,Lists!$Q$4:$U$4,0),0)</f>
        <v>1986</v>
      </c>
      <c r="F26" s="155"/>
      <c r="G26" s="155"/>
      <c r="H26" s="155"/>
      <c r="I26" s="156"/>
      <c r="J26" s="21">
        <f t="shared" si="5"/>
        <v>0</v>
      </c>
      <c r="K26" s="12">
        <f t="shared" si="0"/>
        <v>0</v>
      </c>
      <c r="M26">
        <f t="shared" si="1"/>
        <v>0</v>
      </c>
      <c r="N26">
        <f t="shared" si="2"/>
        <v>0</v>
      </c>
      <c r="O26">
        <f t="shared" si="3"/>
        <v>0</v>
      </c>
      <c r="P26">
        <f t="shared" si="4"/>
        <v>0</v>
      </c>
    </row>
    <row r="27" spans="1:16" ht="22.25" customHeight="1" x14ac:dyDescent="0.35">
      <c r="A27" s="165"/>
      <c r="B27" s="168" t="s">
        <v>196</v>
      </c>
      <c r="C27" s="168" t="s">
        <v>197</v>
      </c>
      <c r="D27" s="169" t="s">
        <v>172</v>
      </c>
      <c r="E27" s="21">
        <f>VLOOKUP(C27,Lists!$Q$5:$U$25, MATCH(D27,Lists!$Q$4:$U$4,0),0)</f>
        <v>1986</v>
      </c>
      <c r="F27" s="155"/>
      <c r="G27" s="155"/>
      <c r="H27" s="155"/>
      <c r="I27" s="156"/>
      <c r="J27" s="21">
        <f t="shared" si="5"/>
        <v>0</v>
      </c>
      <c r="K27" s="12">
        <f t="shared" si="0"/>
        <v>0</v>
      </c>
      <c r="M27">
        <f t="shared" si="1"/>
        <v>0</v>
      </c>
      <c r="N27">
        <f t="shared" si="2"/>
        <v>0</v>
      </c>
      <c r="O27">
        <f t="shared" si="3"/>
        <v>0</v>
      </c>
      <c r="P27">
        <f t="shared" si="4"/>
        <v>0</v>
      </c>
    </row>
    <row r="28" spans="1:16" ht="22.25" customHeight="1" x14ac:dyDescent="0.35">
      <c r="A28" s="165"/>
      <c r="B28" s="168" t="s">
        <v>198</v>
      </c>
      <c r="C28" s="168" t="s">
        <v>199</v>
      </c>
      <c r="D28" s="169" t="s">
        <v>172</v>
      </c>
      <c r="E28" s="21">
        <f>VLOOKUP(C28,Lists!$Q$5:$U$25, MATCH(D28,Lists!$Q$4:$U$4,0),0)</f>
        <v>2400</v>
      </c>
      <c r="F28" s="155"/>
      <c r="G28" s="155"/>
      <c r="H28" s="155"/>
      <c r="I28" s="156"/>
      <c r="J28" s="21">
        <f t="shared" si="5"/>
        <v>0</v>
      </c>
      <c r="K28" s="12">
        <f t="shared" si="0"/>
        <v>0</v>
      </c>
      <c r="M28">
        <f t="shared" si="1"/>
        <v>0</v>
      </c>
      <c r="N28">
        <f t="shared" si="2"/>
        <v>0</v>
      </c>
      <c r="O28">
        <f t="shared" si="3"/>
        <v>0</v>
      </c>
      <c r="P28">
        <f t="shared" si="4"/>
        <v>0</v>
      </c>
    </row>
    <row r="29" spans="1:16" ht="22.25" customHeight="1" x14ac:dyDescent="0.35">
      <c r="A29" s="165"/>
      <c r="B29" s="168" t="s">
        <v>182</v>
      </c>
      <c r="C29" s="168" t="s">
        <v>183</v>
      </c>
      <c r="D29" s="169" t="s">
        <v>172</v>
      </c>
      <c r="E29" s="21">
        <f>VLOOKUP(C29,Lists!$Q$5:$U$25, MATCH(D29,Lists!$Q$4:$U$4,0),0)</f>
        <v>2857</v>
      </c>
      <c r="F29" s="155"/>
      <c r="G29" s="155"/>
      <c r="H29" s="155"/>
      <c r="I29" s="156"/>
      <c r="J29" s="21">
        <f t="shared" si="5"/>
        <v>0</v>
      </c>
      <c r="K29" s="12">
        <f t="shared" si="0"/>
        <v>0</v>
      </c>
      <c r="M29">
        <f t="shared" si="1"/>
        <v>0</v>
      </c>
      <c r="N29">
        <f t="shared" si="2"/>
        <v>0</v>
      </c>
      <c r="O29">
        <f t="shared" si="3"/>
        <v>0</v>
      </c>
      <c r="P29">
        <f t="shared" si="4"/>
        <v>0</v>
      </c>
    </row>
    <row r="30" spans="1:16" ht="22.25" customHeight="1" x14ac:dyDescent="0.35">
      <c r="A30" s="165"/>
      <c r="B30" s="168" t="s">
        <v>174</v>
      </c>
      <c r="C30" s="168" t="s">
        <v>177</v>
      </c>
      <c r="D30" s="169" t="s">
        <v>189</v>
      </c>
      <c r="E30" s="21">
        <f>VLOOKUP(C30,Lists!$Q$5:$U$25, MATCH(D30,Lists!$Q$4:$U$4,0),0)</f>
        <v>2100</v>
      </c>
      <c r="F30" s="155">
        <v>0</v>
      </c>
      <c r="G30" s="155">
        <v>1</v>
      </c>
      <c r="H30" s="155">
        <v>1</v>
      </c>
      <c r="I30" s="156">
        <v>1</v>
      </c>
      <c r="J30" s="21">
        <f t="shared" si="5"/>
        <v>3</v>
      </c>
      <c r="K30" s="12">
        <f t="shared" si="0"/>
        <v>6300</v>
      </c>
      <c r="M30">
        <f t="shared" si="1"/>
        <v>6300</v>
      </c>
      <c r="N30">
        <f t="shared" si="2"/>
        <v>0</v>
      </c>
      <c r="O30">
        <f t="shared" si="3"/>
        <v>6300</v>
      </c>
      <c r="P30">
        <f t="shared" si="4"/>
        <v>0</v>
      </c>
    </row>
    <row r="31" spans="1:16" ht="22.25" customHeight="1" x14ac:dyDescent="0.35">
      <c r="A31" s="165"/>
      <c r="B31" s="168" t="s">
        <v>174</v>
      </c>
      <c r="C31" s="168" t="s">
        <v>169</v>
      </c>
      <c r="D31" s="169" t="s">
        <v>180</v>
      </c>
      <c r="E31" s="21">
        <f>VLOOKUP(C31,Lists!$Q$5:$U$25, MATCH(D31,Lists!$Q$4:$U$4,0),0)</f>
        <v>615</v>
      </c>
      <c r="F31" s="155">
        <v>1</v>
      </c>
      <c r="G31" s="155">
        <v>1</v>
      </c>
      <c r="H31" s="155">
        <v>1</v>
      </c>
      <c r="I31" s="156">
        <v>1</v>
      </c>
      <c r="J31" s="21">
        <f t="shared" si="5"/>
        <v>4</v>
      </c>
      <c r="K31" s="12">
        <f t="shared" si="0"/>
        <v>2460</v>
      </c>
      <c r="M31">
        <f t="shared" si="1"/>
        <v>2460</v>
      </c>
      <c r="N31">
        <f t="shared" si="2"/>
        <v>0</v>
      </c>
      <c r="O31">
        <f t="shared" si="3"/>
        <v>0</v>
      </c>
      <c r="P31">
        <f t="shared" si="4"/>
        <v>2460</v>
      </c>
    </row>
    <row r="32" spans="1:16" ht="22.25" customHeight="1" x14ac:dyDescent="0.35">
      <c r="A32" s="165"/>
      <c r="B32" s="168" t="s">
        <v>174</v>
      </c>
      <c r="C32" s="168" t="s">
        <v>169</v>
      </c>
      <c r="D32" s="169" t="s">
        <v>172</v>
      </c>
      <c r="E32" s="21">
        <f>VLOOKUP(C32,Lists!$Q$5:$U$25, MATCH(D32,Lists!$Q$4:$U$4,0),0)</f>
        <v>2700</v>
      </c>
      <c r="F32" s="155">
        <v>0</v>
      </c>
      <c r="G32" s="155">
        <v>2</v>
      </c>
      <c r="H32" s="155">
        <v>1</v>
      </c>
      <c r="I32" s="156">
        <v>1</v>
      </c>
      <c r="J32" s="21">
        <f>SUM(F32:I32)</f>
        <v>4</v>
      </c>
      <c r="K32" s="12">
        <f>J32*E32</f>
        <v>10800</v>
      </c>
      <c r="M32">
        <f>IF(C32="Project Manager/ Scrum Master", K32,IF(C32="Program Manager",K32,0))</f>
        <v>10800</v>
      </c>
      <c r="N32">
        <f>IF(D32="Internal", K32,0)</f>
        <v>10800</v>
      </c>
      <c r="O32">
        <f>IF(D32="External - onsite", K32,0)</f>
        <v>0</v>
      </c>
      <c r="P32">
        <f>IF(D32="External - Offshore", K32,IF(D32="External - Nearshore",K32,0))</f>
        <v>0</v>
      </c>
    </row>
    <row r="33" spans="1:16" ht="22.25" customHeight="1" x14ac:dyDescent="0.35">
      <c r="A33" s="165"/>
      <c r="B33" s="168" t="s">
        <v>200</v>
      </c>
      <c r="C33" s="168" t="s">
        <v>201</v>
      </c>
      <c r="D33" s="169" t="s">
        <v>189</v>
      </c>
      <c r="E33" s="21">
        <f>VLOOKUP(C33,Lists!$Q$5:$U$25, MATCH(D33,Lists!$Q$4:$U$4,0),0)</f>
        <v>1850</v>
      </c>
      <c r="F33" s="155"/>
      <c r="G33" s="155"/>
      <c r="H33" s="155"/>
      <c r="I33" s="156"/>
      <c r="J33" s="21">
        <f t="shared" si="5"/>
        <v>0</v>
      </c>
      <c r="K33" s="12">
        <f t="shared" si="0"/>
        <v>0</v>
      </c>
      <c r="M33">
        <f t="shared" si="1"/>
        <v>0</v>
      </c>
      <c r="N33">
        <f t="shared" si="2"/>
        <v>0</v>
      </c>
      <c r="O33">
        <f t="shared" si="3"/>
        <v>0</v>
      </c>
      <c r="P33">
        <f t="shared" si="4"/>
        <v>0</v>
      </c>
    </row>
    <row r="34" spans="1:16" ht="22.25" customHeight="1" x14ac:dyDescent="0.35">
      <c r="A34" s="166"/>
      <c r="B34" s="168" t="s">
        <v>200</v>
      </c>
      <c r="C34" s="168" t="s">
        <v>201</v>
      </c>
      <c r="D34" s="169" t="s">
        <v>172</v>
      </c>
      <c r="E34" s="21">
        <f>VLOOKUP(C34,Lists!$Q$5:$U$25, MATCH(D34,Lists!$Q$4:$U$4,0),0)</f>
        <v>1200</v>
      </c>
      <c r="F34" s="155"/>
      <c r="G34" s="155"/>
      <c r="H34" s="155"/>
      <c r="I34" s="156"/>
      <c r="J34" s="21">
        <f>SUM(F34:I34)</f>
        <v>0</v>
      </c>
      <c r="K34" s="12">
        <f>J34*E34</f>
        <v>0</v>
      </c>
    </row>
    <row r="35" spans="1:16" ht="22.25" customHeight="1" x14ac:dyDescent="0.35">
      <c r="A35" s="180" t="s">
        <v>331</v>
      </c>
      <c r="B35" s="168" t="s">
        <v>200</v>
      </c>
      <c r="C35" s="168" t="s">
        <v>201</v>
      </c>
      <c r="D35" s="178" t="s">
        <v>332</v>
      </c>
      <c r="E35" s="179">
        <v>1000</v>
      </c>
      <c r="F35" s="155"/>
      <c r="G35" s="155"/>
      <c r="H35" s="155"/>
      <c r="I35" s="156"/>
      <c r="J35" s="21">
        <f>SUM(F35:I35)</f>
        <v>0</v>
      </c>
      <c r="K35" s="12">
        <f>J35*E35</f>
        <v>0</v>
      </c>
    </row>
    <row r="36" spans="1:16" ht="22.25" customHeight="1" x14ac:dyDescent="0.35">
      <c r="A36" s="180" t="s">
        <v>331</v>
      </c>
      <c r="B36" s="168" t="s">
        <v>196</v>
      </c>
      <c r="C36" s="168" t="s">
        <v>197</v>
      </c>
      <c r="D36" s="178" t="s">
        <v>332</v>
      </c>
      <c r="E36" s="179">
        <v>1000</v>
      </c>
      <c r="F36" s="155"/>
      <c r="G36" s="155"/>
      <c r="H36" s="155"/>
      <c r="I36" s="156"/>
      <c r="J36" s="21">
        <f>SUM(F36:I36)</f>
        <v>0</v>
      </c>
      <c r="K36" s="12">
        <f>J36*E36</f>
        <v>0</v>
      </c>
    </row>
    <row r="37" spans="1:16" ht="22.25" customHeight="1" x14ac:dyDescent="0.35">
      <c r="A37" s="180" t="s">
        <v>331</v>
      </c>
      <c r="B37" s="168" t="s">
        <v>246</v>
      </c>
      <c r="C37" s="168" t="s">
        <v>333</v>
      </c>
      <c r="D37" s="178" t="s">
        <v>332</v>
      </c>
      <c r="E37" s="179">
        <v>1000</v>
      </c>
      <c r="F37" s="155"/>
      <c r="G37" s="155"/>
      <c r="H37" s="155"/>
      <c r="I37" s="156"/>
      <c r="J37" s="21">
        <f>SUM(F37:I37)</f>
        <v>0</v>
      </c>
      <c r="K37" s="12">
        <f>J37*E37</f>
        <v>0</v>
      </c>
    </row>
    <row r="38" spans="1:16" ht="22.25" customHeight="1" x14ac:dyDescent="0.35">
      <c r="A38" s="180" t="s">
        <v>331</v>
      </c>
      <c r="B38" s="168" t="s">
        <v>196</v>
      </c>
      <c r="C38" s="168" t="s">
        <v>197</v>
      </c>
      <c r="D38" s="178" t="s">
        <v>332</v>
      </c>
      <c r="E38" s="179">
        <v>1000</v>
      </c>
      <c r="F38" s="155"/>
      <c r="G38" s="155"/>
      <c r="H38" s="155"/>
      <c r="I38" s="157"/>
      <c r="J38" s="21">
        <f>SUM(F38:I38)</f>
        <v>0</v>
      </c>
      <c r="K38" s="12">
        <f>J38*E38</f>
        <v>0</v>
      </c>
      <c r="M38">
        <f>IF(C34="Project Manager/ Scrum Master", K38,IF(C34="Program Manager",K38,0))</f>
        <v>0</v>
      </c>
      <c r="N38">
        <f>IF(D34="Internal", K38,0)</f>
        <v>0</v>
      </c>
      <c r="O38">
        <f>IF(D34="External - onsite", K38,0)</f>
        <v>0</v>
      </c>
      <c r="P38">
        <f>IF(D34="External - Offshore", K38,IF(D34="External - Nearshore",K38,0))</f>
        <v>0</v>
      </c>
    </row>
    <row r="39" spans="1:16" ht="14.75" customHeight="1" x14ac:dyDescent="0.35">
      <c r="A39" s="174"/>
      <c r="B39" s="174"/>
      <c r="C39" s="174"/>
      <c r="D39" s="174"/>
      <c r="E39" s="177" t="s">
        <v>208</v>
      </c>
      <c r="F39" s="24">
        <f>SUM(F11:F38)</f>
        <v>1</v>
      </c>
      <c r="G39" s="24">
        <f>SUM(G11:G38)</f>
        <v>146.5</v>
      </c>
      <c r="H39" s="24">
        <f>SUM(H11:H38)</f>
        <v>1433</v>
      </c>
      <c r="I39" s="24">
        <f>SUM(I11:I38)</f>
        <v>98</v>
      </c>
      <c r="J39" s="24">
        <f>SUM(J11:J38)</f>
        <v>1678.5</v>
      </c>
      <c r="K39" s="12"/>
    </row>
    <row r="40" spans="1:16" ht="14.75" customHeight="1" x14ac:dyDescent="0.35">
      <c r="A40" s="174"/>
      <c r="B40" s="174"/>
      <c r="C40" s="174"/>
      <c r="D40" s="174"/>
      <c r="E40" s="177" t="s">
        <v>209</v>
      </c>
      <c r="F40" s="175">
        <f>SUM((F11*$E$11)+(F12*$E$12)+(F13*$E$13)+(F14*$E$14)+(F15*$E$15)+(F16*$E$16)+(F17*$E$17)+(F18*$E$18)+(F19*$E$19)+(F20*$E$20)+(F21*$E$21)+(F22*$E$22)+(F23*$E$23)+(F24*$E$24)+(F25*$E$25)+(F26*$E$26)+(F27*$E$27)+(F28*$E$28)+(F29*$E$29)+(F30*$E$30)+(F31*$E$31)+(F32*$E$32)+(F33*$E$33)+(F38*$E$34))</f>
        <v>615</v>
      </c>
      <c r="G40" s="175">
        <f>SUM((G11*$E$11)+(G12*$E$12)+(G13*$E$13)+(G14*$E$14)+(G15*$E$15)+(G16*$E$16)+(G17*$E$17)+(G18*$E$18)+(G19*$E$19)+(G20*$E$20)+(G21*$E$21)+(G22*$E$22)+(G23*$E$23)+(G24*$E$24)+(G25*$E$25)+(G26*$E$26)+(G27*$E$27)+(G28*$E$28)+(G29*$E$29)+(G30*$E$30)+(G31*$E$31)+(G32*$E$32)+(G33*$E$33)+(G38*$E$34))</f>
        <v>386732.5</v>
      </c>
      <c r="H40" s="175">
        <f>SUM((H11*$E$11)+(H12*$E$12)+(H13*$E$13)+(H14*$E$14)+(H15*$E$15)+(H16*$E$16)+(H17*$E$17)+(H18*$E$18)+(H19*$E$19)+(H20*$E$20)+(H21*$E$21)+(H22*$E$22)+(H23*$E$23)+(H24*$E$24)+(H25*$E$25)+(H26*$E$26)+(H27*$E$27)+(H28*$E$28)+(H29*$E$29)+(H30*$E$30)+(H31*$E$31)+(H32*$E$32)+(H33*$E$33)+(H38*$E$34))</f>
        <v>3802475</v>
      </c>
      <c r="I40" s="175">
        <f>SUM((I11*$E$11)+(I12*$E$12)+(I13*$E$13)+(I14*$E$14)+(I15*$E$15)+(I16*$E$16)+(I17*$E$17)+(I18*$E$18)+(I19*$E$19)+(I20*$E$20)+(I21*$E$21)+(I22*$E$22)+(I23*$E$23)+(I24*$E$24)+(I25*$E$25)+(I26*$E$26)+(I27*$E$27)+(I28*$E$28)+(I29*$E$29)+(I30*$E$30)+(I31*$E$31)+(I32*$E$32)+(I33*$E$33)+(I38*$E$34))</f>
        <v>257745</v>
      </c>
      <c r="J40" s="175"/>
      <c r="K40" s="176"/>
    </row>
    <row r="41" spans="1:16" ht="15.5" x14ac:dyDescent="0.35">
      <c r="A41" s="1"/>
      <c r="B41" s="5"/>
      <c r="C41" s="5"/>
      <c r="D41" s="5"/>
      <c r="E41" s="5"/>
      <c r="F41" s="493" t="s">
        <v>210</v>
      </c>
      <c r="G41" s="493"/>
      <c r="H41" s="493"/>
      <c r="I41" s="493"/>
      <c r="J41" s="493"/>
      <c r="K41" s="118">
        <f>SUM(K11:K38)</f>
        <v>4447567.5</v>
      </c>
      <c r="M41">
        <f>SUM(M11:M38)</f>
        <v>4441390</v>
      </c>
      <c r="N41">
        <f>SUM(N11:N38)</f>
        <v>4438807.5</v>
      </c>
      <c r="O41">
        <f>SUM(O11:O38)</f>
        <v>6300</v>
      </c>
      <c r="P41">
        <f>SUM(P11:P38)</f>
        <v>2460</v>
      </c>
    </row>
    <row r="42" spans="1:16" x14ac:dyDescent="0.35">
      <c r="A42" s="1"/>
      <c r="B42" s="5"/>
      <c r="C42" s="5"/>
      <c r="D42" s="5"/>
      <c r="E42" s="5"/>
      <c r="F42" s="5"/>
      <c r="G42" s="5"/>
      <c r="H42" s="5"/>
      <c r="I42" s="5"/>
      <c r="J42" s="5"/>
    </row>
    <row r="43" spans="1:16" x14ac:dyDescent="0.35">
      <c r="I43"/>
      <c r="J43"/>
    </row>
  </sheetData>
  <mergeCells count="10">
    <mergeCell ref="F41:J41"/>
    <mergeCell ref="K7:K10"/>
    <mergeCell ref="J7:J10"/>
    <mergeCell ref="A3:F4"/>
    <mergeCell ref="A5:F5"/>
    <mergeCell ref="B7:B10"/>
    <mergeCell ref="C7:C10"/>
    <mergeCell ref="A7:A10"/>
    <mergeCell ref="D7:D10"/>
    <mergeCell ref="E7:E10"/>
  </mergeCells>
  <pageMargins left="0.7" right="0.7" top="0.75" bottom="0.75" header="0.3" footer="0.3"/>
  <pageSetup paperSize="9" orientation="portrait" r:id="rId1"/>
  <headerFooter>
    <oddFooter>&amp;C_x000D_&amp;1#&amp;"Calibri"&amp;10&amp;K000000 Restricted : General Al-Futtaim Group</oddFoot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F58BB6D-C1C9-46A7-9415-8DF6B3D96C85}">
          <x14:formula1>
            <xm:f>Lists!$A$69:$A$72</xm:f>
          </x14:formula1>
          <xm:sqref>D11:D34</xm:sqref>
        </x14:dataValidation>
        <x14:dataValidation type="list" allowBlank="1" showInputMessage="1" showErrorMessage="1" xr:uid="{B73E4156-7945-4C9C-B662-FB740675A6F1}">
          <x14:formula1>
            <xm:f>Lists!$C$14:$L$14</xm:f>
          </x14:formula1>
          <xm:sqref>B11:B38</xm:sqref>
        </x14:dataValidation>
        <x14:dataValidation type="list" allowBlank="1" showInputMessage="1" showErrorMessage="1" xr:uid="{9D3CA1EA-9402-49F9-B2C8-4A0373FDEC57}">
          <x14:formula1>
            <xm:f>OFFSET(Lists!$C$14, 1, MATCH($B11, Lists!$C$14:$L$14, 0)-1, COUNTA(OFFSET(Lists!$C$14, 1, MATCH($B11, Lists!$C$14:$L$14, 0)-1, 50)),1)</xm:f>
          </x14:formula1>
          <xm:sqref>C11:C38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641FD-898A-41AE-947D-FEE6906306D5}">
  <dimension ref="A1:AA70"/>
  <sheetViews>
    <sheetView topLeftCell="A37" zoomScale="60" zoomScaleNormal="60" workbookViewId="0">
      <selection activeCell="F42" sqref="F42:Q42"/>
    </sheetView>
  </sheetViews>
  <sheetFormatPr defaultColWidth="8.6328125" defaultRowHeight="14.5" x14ac:dyDescent="0.35"/>
  <cols>
    <col min="1" max="1" width="31.6328125" customWidth="1"/>
    <col min="2" max="2" width="24.6328125" bestFit="1" customWidth="1"/>
    <col min="3" max="5" width="24.6328125" customWidth="1"/>
    <col min="6" max="7" width="10.453125" bestFit="1" customWidth="1"/>
    <col min="8" max="8" width="11.36328125" customWidth="1"/>
    <col min="9" max="15" width="10.6328125" customWidth="1"/>
    <col min="16" max="17" width="10.453125" style="3" bestFit="1" customWidth="1"/>
    <col min="18" max="18" width="10.36328125" style="3" bestFit="1" customWidth="1"/>
    <col min="19" max="19" width="13.453125" customWidth="1"/>
    <col min="20" max="20" width="22.6328125" customWidth="1"/>
    <col min="21" max="24" width="0" hidden="1" customWidth="1"/>
    <col min="25" max="25" width="4.54296875" customWidth="1"/>
  </cols>
  <sheetData>
    <row r="1" spans="1:19" ht="15.5" x14ac:dyDescent="0.35">
      <c r="A1" s="153" t="s">
        <v>327</v>
      </c>
      <c r="B1" s="150" t="s">
        <v>334</v>
      </c>
      <c r="C1" s="109"/>
      <c r="D1" s="110"/>
      <c r="E1" s="110"/>
      <c r="F1" s="101"/>
      <c r="G1" s="101"/>
      <c r="H1" s="101"/>
      <c r="I1" s="101"/>
      <c r="J1" s="101"/>
      <c r="K1" s="101"/>
      <c r="L1" s="101"/>
      <c r="P1"/>
      <c r="Q1"/>
      <c r="R1"/>
    </row>
    <row r="2" spans="1:19" ht="15.65" customHeight="1" x14ac:dyDescent="0.35">
      <c r="A2" s="153"/>
      <c r="B2" s="154" t="s">
        <v>335</v>
      </c>
      <c r="C2" s="109"/>
      <c r="D2" s="110"/>
      <c r="E2" s="110"/>
      <c r="F2" s="101"/>
      <c r="G2" s="101"/>
      <c r="H2" s="101"/>
      <c r="I2" s="101"/>
      <c r="J2" s="101"/>
      <c r="K2" s="101"/>
      <c r="L2" s="101"/>
      <c r="P2"/>
      <c r="Q2"/>
      <c r="R2"/>
    </row>
    <row r="3" spans="1:19" ht="15.5" x14ac:dyDescent="0.35">
      <c r="A3" s="153"/>
      <c r="B3" s="154" t="s">
        <v>336</v>
      </c>
      <c r="C3" s="109"/>
      <c r="D3" s="110"/>
      <c r="E3" s="110"/>
      <c r="F3" s="101"/>
      <c r="G3" s="101"/>
      <c r="H3" s="101"/>
      <c r="I3" s="101"/>
      <c r="J3" s="101"/>
      <c r="K3" s="101"/>
      <c r="L3" s="101"/>
      <c r="P3"/>
      <c r="Q3"/>
      <c r="R3"/>
    </row>
    <row r="4" spans="1:19" x14ac:dyDescent="0.35">
      <c r="A4" s="456" t="s">
        <v>337</v>
      </c>
      <c r="B4" s="456"/>
      <c r="C4" s="456"/>
      <c r="D4" s="456"/>
      <c r="E4" s="456"/>
      <c r="F4" s="456"/>
      <c r="G4" s="16"/>
      <c r="H4" s="16"/>
      <c r="I4" s="16"/>
      <c r="J4" s="16"/>
      <c r="K4" s="16"/>
      <c r="L4" s="16"/>
      <c r="M4" s="16"/>
      <c r="N4" s="16"/>
      <c r="O4" s="16"/>
      <c r="P4" s="16"/>
      <c r="Q4" s="16"/>
      <c r="R4"/>
    </row>
    <row r="5" spans="1:19" ht="18.649999999999999" customHeight="1" x14ac:dyDescent="0.35">
      <c r="A5" s="497"/>
      <c r="B5" s="497"/>
      <c r="C5" s="497"/>
      <c r="D5" s="497"/>
      <c r="E5" s="497"/>
      <c r="F5" s="497"/>
      <c r="G5" s="108"/>
      <c r="H5" s="108"/>
      <c r="I5" s="108"/>
      <c r="J5" s="108"/>
      <c r="K5" s="108"/>
      <c r="L5" s="108"/>
      <c r="M5" s="108"/>
      <c r="N5" s="108"/>
      <c r="O5" s="108"/>
      <c r="P5" s="16"/>
      <c r="Q5" s="16"/>
      <c r="R5"/>
    </row>
    <row r="6" spans="1:19" x14ac:dyDescent="0.35">
      <c r="A6" s="498" t="s">
        <v>338</v>
      </c>
      <c r="B6" s="499"/>
      <c r="C6" s="499"/>
      <c r="D6" s="499"/>
      <c r="E6" s="499"/>
      <c r="F6" s="500"/>
      <c r="G6" s="167">
        <v>10</v>
      </c>
      <c r="H6" s="44"/>
      <c r="I6" s="44"/>
      <c r="J6" s="44"/>
      <c r="K6" s="44"/>
      <c r="L6" s="44"/>
      <c r="M6" s="44"/>
      <c r="N6" s="44"/>
      <c r="O6" s="44"/>
    </row>
    <row r="7" spans="1:19" ht="4.25" customHeight="1" x14ac:dyDescent="0.35">
      <c r="A7" s="4"/>
      <c r="B7" s="4"/>
      <c r="C7" s="10"/>
      <c r="D7" s="19"/>
      <c r="E7" s="19"/>
      <c r="F7" s="19"/>
      <c r="G7" s="11"/>
      <c r="H7" s="11"/>
      <c r="I7" s="11"/>
      <c r="J7" s="11"/>
      <c r="K7" s="11"/>
      <c r="L7" s="11"/>
      <c r="M7" s="11"/>
      <c r="N7" s="11"/>
      <c r="O7" s="11"/>
      <c r="P7" s="6"/>
      <c r="Q7" s="6"/>
      <c r="R7" s="6"/>
    </row>
    <row r="8" spans="1:19" ht="53.75" customHeight="1" x14ac:dyDescent="0.35">
      <c r="A8" s="502" t="s">
        <v>339</v>
      </c>
      <c r="B8" s="502" t="s">
        <v>340</v>
      </c>
      <c r="C8" s="502" t="s">
        <v>341</v>
      </c>
      <c r="D8" s="502" t="s">
        <v>342</v>
      </c>
      <c r="E8" s="425" t="s">
        <v>158</v>
      </c>
      <c r="F8" s="20" t="s">
        <v>343</v>
      </c>
      <c r="G8" s="20" t="s">
        <v>344</v>
      </c>
      <c r="H8" s="20" t="s">
        <v>345</v>
      </c>
      <c r="I8" s="20" t="s">
        <v>346</v>
      </c>
      <c r="J8" s="20" t="s">
        <v>347</v>
      </c>
      <c r="K8" s="20" t="s">
        <v>348</v>
      </c>
      <c r="L8" s="20" t="s">
        <v>349</v>
      </c>
      <c r="M8" s="20" t="s">
        <v>350</v>
      </c>
      <c r="N8" s="20" t="s">
        <v>351</v>
      </c>
      <c r="O8" s="20" t="s">
        <v>352</v>
      </c>
      <c r="P8" s="20" t="s">
        <v>353</v>
      </c>
      <c r="Q8" s="20" t="s">
        <v>354</v>
      </c>
      <c r="R8" s="45" t="s">
        <v>163</v>
      </c>
      <c r="S8" s="45" t="s">
        <v>164</v>
      </c>
    </row>
    <row r="9" spans="1:19" ht="12.65" customHeight="1" x14ac:dyDescent="0.35">
      <c r="A9" s="503"/>
      <c r="B9" s="503"/>
      <c r="C9" s="503"/>
      <c r="D9" s="503"/>
      <c r="E9" s="445"/>
      <c r="F9" s="37" t="s">
        <v>168</v>
      </c>
      <c r="G9" s="37" t="s">
        <v>168</v>
      </c>
      <c r="H9" s="37" t="s">
        <v>168</v>
      </c>
      <c r="I9" s="37" t="s">
        <v>168</v>
      </c>
      <c r="J9" s="37" t="s">
        <v>168</v>
      </c>
      <c r="K9" s="37" t="s">
        <v>168</v>
      </c>
      <c r="L9" s="37" t="s">
        <v>168</v>
      </c>
      <c r="M9" s="37" t="s">
        <v>168</v>
      </c>
      <c r="N9" s="37" t="s">
        <v>168</v>
      </c>
      <c r="O9" s="37" t="s">
        <v>168</v>
      </c>
      <c r="P9" s="37" t="s">
        <v>168</v>
      </c>
      <c r="Q9" s="37" t="s">
        <v>168</v>
      </c>
      <c r="R9" s="46"/>
      <c r="S9" s="46"/>
    </row>
    <row r="10" spans="1:19" ht="22.25" customHeight="1" x14ac:dyDescent="0.35">
      <c r="A10" s="165" t="s">
        <v>169</v>
      </c>
      <c r="B10" s="168" t="s">
        <v>174</v>
      </c>
      <c r="C10" s="168" t="s">
        <v>169</v>
      </c>
      <c r="D10" s="169" t="s">
        <v>254</v>
      </c>
      <c r="E10" s="21">
        <f>VLOOKUP(C10,Lists!$Q$5:$U$25, MATCH(D10,Lists!$Q$4:$U$4,0),0)</f>
        <v>1300</v>
      </c>
      <c r="F10" s="155">
        <v>10</v>
      </c>
      <c r="G10" s="155">
        <v>5</v>
      </c>
      <c r="H10" s="155"/>
      <c r="I10" s="155"/>
      <c r="J10" s="155"/>
      <c r="K10" s="155"/>
      <c r="L10" s="155"/>
      <c r="M10" s="155"/>
      <c r="N10" s="155"/>
      <c r="O10" s="155"/>
      <c r="P10" s="155">
        <v>0</v>
      </c>
      <c r="Q10" s="156">
        <v>0</v>
      </c>
      <c r="R10" s="36">
        <f>SUM(F10:Q10)</f>
        <v>15</v>
      </c>
      <c r="S10" s="12">
        <f>R10*E10</f>
        <v>19500</v>
      </c>
    </row>
    <row r="11" spans="1:19" ht="22.25" customHeight="1" x14ac:dyDescent="0.35">
      <c r="A11" s="165" t="s">
        <v>173</v>
      </c>
      <c r="B11" s="168" t="s">
        <v>174</v>
      </c>
      <c r="C11" s="168" t="s">
        <v>169</v>
      </c>
      <c r="D11" s="169" t="s">
        <v>172</v>
      </c>
      <c r="E11" s="21">
        <f>VLOOKUP(C11,Lists!$Q$5:$U$25, MATCH(D11,Lists!$Q$4:$U$4,0),0)</f>
        <v>2700</v>
      </c>
      <c r="F11" s="155">
        <v>10</v>
      </c>
      <c r="G11" s="155">
        <v>5</v>
      </c>
      <c r="H11" s="155"/>
      <c r="I11" s="155"/>
      <c r="J11" s="155">
        <v>1</v>
      </c>
      <c r="K11" s="155"/>
      <c r="L11" s="155"/>
      <c r="M11" s="155"/>
      <c r="N11" s="155"/>
      <c r="O11" s="155"/>
      <c r="P11" s="155">
        <v>0</v>
      </c>
      <c r="Q11" s="156">
        <v>0</v>
      </c>
      <c r="R11" s="21">
        <f>SUM(F11:Q11)</f>
        <v>16</v>
      </c>
      <c r="S11" s="12">
        <f t="shared" ref="S11:S33" si="0">R11*E11</f>
        <v>43200</v>
      </c>
    </row>
    <row r="12" spans="1:19" ht="22.25" customHeight="1" x14ac:dyDescent="0.35">
      <c r="A12" s="165" t="s">
        <v>355</v>
      </c>
      <c r="B12" s="168" t="s">
        <v>174</v>
      </c>
      <c r="C12" s="168" t="s">
        <v>177</v>
      </c>
      <c r="D12" s="169" t="s">
        <v>172</v>
      </c>
      <c r="E12" s="21">
        <f>VLOOKUP(C12,Lists!$Q$5:$U$25, MATCH(D12,Lists!$Q$4:$U$4,0),0)</f>
        <v>2422</v>
      </c>
      <c r="F12" s="155">
        <v>5</v>
      </c>
      <c r="G12" s="155">
        <v>20</v>
      </c>
      <c r="H12" s="155">
        <v>2</v>
      </c>
      <c r="I12" s="155"/>
      <c r="J12" s="155"/>
      <c r="K12" s="155"/>
      <c r="L12" s="155"/>
      <c r="M12" s="155"/>
      <c r="N12" s="155"/>
      <c r="O12" s="155"/>
      <c r="P12" s="155">
        <v>0</v>
      </c>
      <c r="Q12" s="156">
        <v>0</v>
      </c>
      <c r="R12" s="21">
        <f t="shared" ref="R12:R33" si="1">SUM(F12:Q12)</f>
        <v>27</v>
      </c>
      <c r="S12" s="12">
        <f t="shared" si="0"/>
        <v>65394</v>
      </c>
    </row>
    <row r="13" spans="1:19" ht="22.25" customHeight="1" x14ac:dyDescent="0.35">
      <c r="A13" s="165" t="s">
        <v>181</v>
      </c>
      <c r="B13" s="168" t="s">
        <v>182</v>
      </c>
      <c r="C13" s="168" t="s">
        <v>183</v>
      </c>
      <c r="D13" s="169" t="s">
        <v>172</v>
      </c>
      <c r="E13" s="21">
        <f>VLOOKUP(C13,Lists!$Q$5:$U$25, MATCH(D13,Lists!$Q$4:$U$4,0),0)</f>
        <v>2857</v>
      </c>
      <c r="F13" s="155">
        <v>1</v>
      </c>
      <c r="G13" s="155">
        <v>1</v>
      </c>
      <c r="H13" s="155"/>
      <c r="I13" s="155"/>
      <c r="J13" s="155"/>
      <c r="K13" s="155"/>
      <c r="L13" s="155"/>
      <c r="M13" s="155"/>
      <c r="N13" s="155"/>
      <c r="O13" s="155"/>
      <c r="P13" s="155">
        <v>0</v>
      </c>
      <c r="Q13" s="156">
        <v>0</v>
      </c>
      <c r="R13" s="21">
        <f t="shared" si="1"/>
        <v>2</v>
      </c>
      <c r="S13" s="12">
        <f t="shared" si="0"/>
        <v>5714</v>
      </c>
    </row>
    <row r="14" spans="1:19" ht="22.25" customHeight="1" x14ac:dyDescent="0.35">
      <c r="A14" s="165" t="s">
        <v>184</v>
      </c>
      <c r="B14" s="168" t="s">
        <v>182</v>
      </c>
      <c r="C14" s="168" t="s">
        <v>185</v>
      </c>
      <c r="D14" s="169" t="s">
        <v>172</v>
      </c>
      <c r="E14" s="21">
        <f>VLOOKUP(C14,Lists!$Q$5:$U$25, MATCH(D14,Lists!$Q$4:$U$4,0),0)</f>
        <v>2757</v>
      </c>
      <c r="F14" s="155">
        <v>2</v>
      </c>
      <c r="G14" s="155">
        <v>2</v>
      </c>
      <c r="H14" s="155">
        <v>2</v>
      </c>
      <c r="I14" s="155"/>
      <c r="J14" s="155"/>
      <c r="K14" s="155"/>
      <c r="L14" s="155"/>
      <c r="M14" s="155"/>
      <c r="N14" s="155"/>
      <c r="O14" s="155"/>
      <c r="P14" s="155">
        <v>0</v>
      </c>
      <c r="Q14" s="156">
        <v>0</v>
      </c>
      <c r="R14" s="21">
        <f t="shared" si="1"/>
        <v>6</v>
      </c>
      <c r="S14" s="12">
        <f t="shared" si="0"/>
        <v>16542</v>
      </c>
    </row>
    <row r="15" spans="1:19" ht="22.25" customHeight="1" x14ac:dyDescent="0.35">
      <c r="A15" s="165" t="s">
        <v>186</v>
      </c>
      <c r="B15" s="168" t="s">
        <v>187</v>
      </c>
      <c r="C15" s="168" t="s">
        <v>188</v>
      </c>
      <c r="D15" s="169" t="s">
        <v>172</v>
      </c>
      <c r="E15" s="21">
        <f>VLOOKUP(C15,Lists!$Q$5:$U$25, MATCH(D15,Lists!$Q$4:$U$4,0),0)</f>
        <v>2224</v>
      </c>
      <c r="F15" s="155"/>
      <c r="G15" s="155"/>
      <c r="H15" s="155"/>
      <c r="I15" s="155"/>
      <c r="J15" s="155"/>
      <c r="K15" s="155"/>
      <c r="L15" s="155"/>
      <c r="M15" s="155"/>
      <c r="N15" s="155"/>
      <c r="O15" s="155"/>
      <c r="P15" s="155">
        <v>0</v>
      </c>
      <c r="Q15" s="156">
        <v>0</v>
      </c>
      <c r="R15" s="21">
        <f t="shared" si="1"/>
        <v>0</v>
      </c>
      <c r="S15" s="12">
        <f t="shared" si="0"/>
        <v>0</v>
      </c>
    </row>
    <row r="16" spans="1:19" ht="22.25" customHeight="1" x14ac:dyDescent="0.35">
      <c r="A16" s="165" t="s">
        <v>190</v>
      </c>
      <c r="B16" s="168" t="s">
        <v>187</v>
      </c>
      <c r="C16" s="168" t="s">
        <v>188</v>
      </c>
      <c r="D16" s="169" t="s">
        <v>172</v>
      </c>
      <c r="E16" s="21">
        <f>VLOOKUP(C16,Lists!$Q$5:$U$25, MATCH(D16,Lists!$Q$4:$U$4,0),0)</f>
        <v>2224</v>
      </c>
      <c r="F16" s="155">
        <v>2</v>
      </c>
      <c r="G16" s="155">
        <v>0</v>
      </c>
      <c r="H16" s="155"/>
      <c r="I16" s="155"/>
      <c r="J16" s="155"/>
      <c r="K16" s="155"/>
      <c r="L16" s="155"/>
      <c r="M16" s="155"/>
      <c r="N16" s="155"/>
      <c r="O16" s="155"/>
      <c r="P16" s="155">
        <v>0</v>
      </c>
      <c r="Q16" s="156">
        <v>0</v>
      </c>
      <c r="R16" s="21">
        <f t="shared" si="1"/>
        <v>2</v>
      </c>
      <c r="S16" s="12">
        <f t="shared" si="0"/>
        <v>4448</v>
      </c>
    </row>
    <row r="17" spans="1:19" ht="22.25" customHeight="1" x14ac:dyDescent="0.35">
      <c r="A17" s="165" t="s">
        <v>191</v>
      </c>
      <c r="B17" s="168" t="s">
        <v>187</v>
      </c>
      <c r="C17" s="168" t="s">
        <v>192</v>
      </c>
      <c r="D17" s="169" t="s">
        <v>172</v>
      </c>
      <c r="E17" s="21">
        <f>VLOOKUP(C17,Lists!$Q$5:$U$25, MATCH(D17,Lists!$Q$4:$U$4,0),0)</f>
        <v>2175</v>
      </c>
      <c r="F17" s="155"/>
      <c r="G17" s="155"/>
      <c r="H17" s="155"/>
      <c r="I17" s="155"/>
      <c r="J17" s="155"/>
      <c r="K17" s="155"/>
      <c r="L17" s="155"/>
      <c r="M17" s="155"/>
      <c r="N17" s="155"/>
      <c r="O17" s="155"/>
      <c r="P17" s="155">
        <v>0</v>
      </c>
      <c r="Q17" s="156">
        <v>0</v>
      </c>
      <c r="R17" s="21">
        <f t="shared" si="1"/>
        <v>0</v>
      </c>
      <c r="S17" s="12">
        <f t="shared" si="0"/>
        <v>0</v>
      </c>
    </row>
    <row r="18" spans="1:19" ht="22.25" customHeight="1" x14ac:dyDescent="0.35">
      <c r="A18" s="165" t="s">
        <v>193</v>
      </c>
      <c r="B18" s="168" t="s">
        <v>170</v>
      </c>
      <c r="C18" s="168" t="s">
        <v>194</v>
      </c>
      <c r="D18" s="169" t="s">
        <v>172</v>
      </c>
      <c r="E18" s="21">
        <f>VLOOKUP(C18,Lists!$Q$5:$U$25, MATCH(D18,Lists!$Q$4:$U$4,0),0)</f>
        <v>2575</v>
      </c>
      <c r="F18" s="155">
        <v>1</v>
      </c>
      <c r="G18" s="155">
        <v>1</v>
      </c>
      <c r="H18" s="155"/>
      <c r="I18" s="155"/>
      <c r="J18" s="155"/>
      <c r="K18" s="155"/>
      <c r="L18" s="155"/>
      <c r="M18" s="155"/>
      <c r="N18" s="155"/>
      <c r="O18" s="155"/>
      <c r="P18" s="155">
        <v>0</v>
      </c>
      <c r="Q18" s="156">
        <v>0</v>
      </c>
      <c r="R18" s="21">
        <f t="shared" si="1"/>
        <v>2</v>
      </c>
      <c r="S18" s="12">
        <f t="shared" si="0"/>
        <v>5150</v>
      </c>
    </row>
    <row r="19" spans="1:19" ht="22.25" customHeight="1" x14ac:dyDescent="0.35">
      <c r="A19" s="165" t="s">
        <v>195</v>
      </c>
      <c r="B19" s="168" t="s">
        <v>170</v>
      </c>
      <c r="C19" s="168" t="s">
        <v>194</v>
      </c>
      <c r="D19" s="169" t="s">
        <v>172</v>
      </c>
      <c r="E19" s="21">
        <f>VLOOKUP(C19,Lists!$Q$5:$U$25, MATCH(D19,Lists!$Q$4:$U$4,0),0)</f>
        <v>2575</v>
      </c>
      <c r="F19" s="155"/>
      <c r="G19" s="155"/>
      <c r="H19" s="155"/>
      <c r="I19" s="155"/>
      <c r="J19" s="155"/>
      <c r="K19" s="155"/>
      <c r="L19" s="155"/>
      <c r="M19" s="155"/>
      <c r="N19" s="155"/>
      <c r="O19" s="155"/>
      <c r="P19" s="155">
        <v>0</v>
      </c>
      <c r="Q19" s="156">
        <v>0</v>
      </c>
      <c r="R19" s="21">
        <f t="shared" si="1"/>
        <v>0</v>
      </c>
      <c r="S19" s="12">
        <f t="shared" si="0"/>
        <v>0</v>
      </c>
    </row>
    <row r="20" spans="1:19" ht="22.25" customHeight="1" x14ac:dyDescent="0.35">
      <c r="A20" s="165"/>
      <c r="B20" s="168" t="s">
        <v>200</v>
      </c>
      <c r="C20" s="168" t="s">
        <v>201</v>
      </c>
      <c r="D20" s="169" t="s">
        <v>172</v>
      </c>
      <c r="E20" s="21">
        <f>VLOOKUP(C20,Lists!$Q$5:$U$25, MATCH(D20,Lists!$Q$4:$U$4,0),0)</f>
        <v>1200</v>
      </c>
      <c r="F20" s="155">
        <v>80</v>
      </c>
      <c r="G20" s="155"/>
      <c r="H20" s="155"/>
      <c r="I20" s="155"/>
      <c r="J20" s="155"/>
      <c r="K20" s="155"/>
      <c r="L20" s="155"/>
      <c r="M20" s="155"/>
      <c r="N20" s="155"/>
      <c r="O20" s="155"/>
      <c r="P20" s="155">
        <v>0</v>
      </c>
      <c r="Q20" s="156">
        <v>0</v>
      </c>
      <c r="R20" s="21">
        <f t="shared" si="1"/>
        <v>80</v>
      </c>
      <c r="S20" s="12">
        <f t="shared" si="0"/>
        <v>96000</v>
      </c>
    </row>
    <row r="21" spans="1:19" ht="22.25" customHeight="1" x14ac:dyDescent="0.35">
      <c r="A21" s="165"/>
      <c r="B21" s="168" t="s">
        <v>187</v>
      </c>
      <c r="C21" s="168" t="s">
        <v>185</v>
      </c>
      <c r="D21" s="169" t="s">
        <v>180</v>
      </c>
      <c r="E21" s="21">
        <f>VLOOKUP(C21,Lists!$Q$5:$U$25, MATCH(D21,Lists!$Q$4:$U$4,0),0)</f>
        <v>615</v>
      </c>
      <c r="F21" s="155"/>
      <c r="G21" s="155"/>
      <c r="H21" s="155"/>
      <c r="I21" s="155"/>
      <c r="J21" s="155"/>
      <c r="K21" s="155"/>
      <c r="L21" s="155"/>
      <c r="M21" s="155"/>
      <c r="N21" s="155"/>
      <c r="O21" s="155"/>
      <c r="P21" s="155">
        <v>0</v>
      </c>
      <c r="Q21" s="156">
        <v>0</v>
      </c>
      <c r="R21" s="21">
        <f t="shared" si="1"/>
        <v>0</v>
      </c>
      <c r="S21" s="12">
        <f t="shared" si="0"/>
        <v>0</v>
      </c>
    </row>
    <row r="22" spans="1:19" ht="22.25" customHeight="1" x14ac:dyDescent="0.35">
      <c r="A22" s="165"/>
      <c r="B22" s="168" t="s">
        <v>187</v>
      </c>
      <c r="C22" s="168" t="s">
        <v>185</v>
      </c>
      <c r="D22" s="169" t="s">
        <v>180</v>
      </c>
      <c r="E22" s="21">
        <f>VLOOKUP(C22,Lists!$Q$5:$U$25, MATCH(D22,Lists!$Q$4:$U$4,0),0)</f>
        <v>615</v>
      </c>
      <c r="F22" s="155"/>
      <c r="G22" s="155"/>
      <c r="H22" s="155"/>
      <c r="I22" s="155"/>
      <c r="J22" s="155"/>
      <c r="K22" s="155"/>
      <c r="L22" s="155"/>
      <c r="M22" s="155"/>
      <c r="N22" s="155"/>
      <c r="O22" s="155"/>
      <c r="P22" s="155">
        <v>0</v>
      </c>
      <c r="Q22" s="156">
        <v>0</v>
      </c>
      <c r="R22" s="21">
        <f t="shared" si="1"/>
        <v>0</v>
      </c>
      <c r="S22" s="12">
        <f t="shared" si="0"/>
        <v>0</v>
      </c>
    </row>
    <row r="23" spans="1:19" ht="22.25" customHeight="1" x14ac:dyDescent="0.35">
      <c r="A23" s="165"/>
      <c r="B23" s="168" t="s">
        <v>187</v>
      </c>
      <c r="C23" s="168" t="s">
        <v>185</v>
      </c>
      <c r="D23" s="169" t="s">
        <v>180</v>
      </c>
      <c r="E23" s="21">
        <f>VLOOKUP(C23,Lists!$Q$5:$U$25, MATCH(D23,Lists!$Q$4:$U$4,0),0)</f>
        <v>615</v>
      </c>
      <c r="F23" s="155"/>
      <c r="G23" s="155"/>
      <c r="H23" s="155"/>
      <c r="I23" s="155"/>
      <c r="J23" s="155"/>
      <c r="K23" s="155"/>
      <c r="L23" s="155"/>
      <c r="M23" s="155"/>
      <c r="N23" s="155"/>
      <c r="O23" s="155"/>
      <c r="P23" s="155">
        <v>0</v>
      </c>
      <c r="Q23" s="156">
        <v>0</v>
      </c>
      <c r="R23" s="21">
        <f t="shared" si="1"/>
        <v>0</v>
      </c>
      <c r="S23" s="12">
        <f t="shared" si="0"/>
        <v>0</v>
      </c>
    </row>
    <row r="24" spans="1:19" ht="22.25" customHeight="1" x14ac:dyDescent="0.35">
      <c r="A24" s="165"/>
      <c r="B24" s="168" t="s">
        <v>196</v>
      </c>
      <c r="C24" s="168" t="s">
        <v>197</v>
      </c>
      <c r="D24" s="169" t="s">
        <v>172</v>
      </c>
      <c r="E24" s="21">
        <f>VLOOKUP(C24,Lists!$Q$5:$U$25, MATCH(D24,Lists!$Q$4:$U$4,0),0)</f>
        <v>1986</v>
      </c>
      <c r="F24" s="155"/>
      <c r="G24" s="155"/>
      <c r="H24" s="155"/>
      <c r="I24" s="155"/>
      <c r="J24" s="155"/>
      <c r="K24" s="155"/>
      <c r="L24" s="155"/>
      <c r="M24" s="155"/>
      <c r="N24" s="155"/>
      <c r="O24" s="155"/>
      <c r="P24" s="155">
        <v>0</v>
      </c>
      <c r="Q24" s="156">
        <v>0</v>
      </c>
      <c r="R24" s="21">
        <f t="shared" si="1"/>
        <v>0</v>
      </c>
      <c r="S24" s="12">
        <f t="shared" si="0"/>
        <v>0</v>
      </c>
    </row>
    <row r="25" spans="1:19" ht="22.25" customHeight="1" x14ac:dyDescent="0.35">
      <c r="A25" s="165"/>
      <c r="B25" s="168" t="s">
        <v>196</v>
      </c>
      <c r="C25" s="168" t="s">
        <v>197</v>
      </c>
      <c r="D25" s="169" t="s">
        <v>172</v>
      </c>
      <c r="E25" s="21">
        <f>VLOOKUP(C25,Lists!$Q$5:$U$25, MATCH(D25,Lists!$Q$4:$U$4,0),0)</f>
        <v>1986</v>
      </c>
      <c r="F25" s="155"/>
      <c r="G25" s="155"/>
      <c r="H25" s="155"/>
      <c r="I25" s="155"/>
      <c r="J25" s="155"/>
      <c r="K25" s="155"/>
      <c r="L25" s="155"/>
      <c r="M25" s="155"/>
      <c r="N25" s="155"/>
      <c r="O25" s="155"/>
      <c r="P25" s="155">
        <v>0</v>
      </c>
      <c r="Q25" s="156">
        <v>0</v>
      </c>
      <c r="R25" s="21">
        <f t="shared" si="1"/>
        <v>0</v>
      </c>
      <c r="S25" s="12">
        <f t="shared" si="0"/>
        <v>0</v>
      </c>
    </row>
    <row r="26" spans="1:19" ht="22.25" customHeight="1" x14ac:dyDescent="0.35">
      <c r="A26" s="165"/>
      <c r="B26" s="168" t="s">
        <v>196</v>
      </c>
      <c r="C26" s="168" t="s">
        <v>197</v>
      </c>
      <c r="D26" s="169" t="s">
        <v>172</v>
      </c>
      <c r="E26" s="21">
        <f>VLOOKUP(C26,Lists!$Q$5:$U$25, MATCH(D26,Lists!$Q$4:$U$4,0),0)</f>
        <v>1986</v>
      </c>
      <c r="F26" s="155"/>
      <c r="G26" s="155"/>
      <c r="H26" s="155"/>
      <c r="I26" s="155"/>
      <c r="J26" s="155"/>
      <c r="K26" s="155"/>
      <c r="L26" s="155"/>
      <c r="M26" s="155"/>
      <c r="N26" s="155"/>
      <c r="O26" s="155"/>
      <c r="P26" s="155">
        <v>0</v>
      </c>
      <c r="Q26" s="156">
        <v>0</v>
      </c>
      <c r="R26" s="21">
        <f t="shared" si="1"/>
        <v>0</v>
      </c>
      <c r="S26" s="12">
        <f t="shared" si="0"/>
        <v>0</v>
      </c>
    </row>
    <row r="27" spans="1:19" ht="22.25" customHeight="1" x14ac:dyDescent="0.35">
      <c r="A27" s="165"/>
      <c r="B27" s="168" t="s">
        <v>196</v>
      </c>
      <c r="C27" s="168" t="s">
        <v>197</v>
      </c>
      <c r="D27" s="169" t="s">
        <v>172</v>
      </c>
      <c r="E27" s="21">
        <f>VLOOKUP(C27,Lists!$Q$5:$U$25, MATCH(D27,Lists!$Q$4:$U$4,0),0)</f>
        <v>1986</v>
      </c>
      <c r="F27" s="155"/>
      <c r="G27" s="155"/>
      <c r="H27" s="155"/>
      <c r="I27" s="155"/>
      <c r="J27" s="155"/>
      <c r="K27" s="155"/>
      <c r="L27" s="155"/>
      <c r="M27" s="155"/>
      <c r="N27" s="155"/>
      <c r="O27" s="155"/>
      <c r="P27" s="155">
        <v>0</v>
      </c>
      <c r="Q27" s="156">
        <v>0</v>
      </c>
      <c r="R27" s="21">
        <f t="shared" si="1"/>
        <v>0</v>
      </c>
      <c r="S27" s="12">
        <f t="shared" si="0"/>
        <v>0</v>
      </c>
    </row>
    <row r="28" spans="1:19" ht="22.25" customHeight="1" x14ac:dyDescent="0.35">
      <c r="A28" s="165"/>
      <c r="B28" s="168" t="s">
        <v>196</v>
      </c>
      <c r="C28" s="168" t="s">
        <v>197</v>
      </c>
      <c r="D28" s="169" t="s">
        <v>172</v>
      </c>
      <c r="E28" s="21">
        <f>VLOOKUP(C28,Lists!$Q$5:$U$25, MATCH(D28,Lists!$Q$4:$U$4,0),0)</f>
        <v>1986</v>
      </c>
      <c r="F28" s="155"/>
      <c r="G28" s="155"/>
      <c r="H28" s="155"/>
      <c r="I28" s="155"/>
      <c r="J28" s="155"/>
      <c r="K28" s="155"/>
      <c r="L28" s="155"/>
      <c r="M28" s="155"/>
      <c r="N28" s="155"/>
      <c r="O28" s="155"/>
      <c r="P28" s="155">
        <v>0</v>
      </c>
      <c r="Q28" s="156">
        <v>0</v>
      </c>
      <c r="R28" s="21">
        <f t="shared" si="1"/>
        <v>0</v>
      </c>
      <c r="S28" s="12">
        <f t="shared" si="0"/>
        <v>0</v>
      </c>
    </row>
    <row r="29" spans="1:19" ht="22.25" customHeight="1" x14ac:dyDescent="0.35">
      <c r="A29" s="165"/>
      <c r="B29" s="168" t="s">
        <v>196</v>
      </c>
      <c r="C29" s="168" t="s">
        <v>197</v>
      </c>
      <c r="D29" s="169" t="s">
        <v>172</v>
      </c>
      <c r="E29" s="21">
        <f>VLOOKUP(C29,Lists!$Q$5:$U$25, MATCH(D29,Lists!$Q$4:$U$4,0),0)</f>
        <v>1986</v>
      </c>
      <c r="F29" s="155"/>
      <c r="G29" s="155"/>
      <c r="H29" s="155"/>
      <c r="I29" s="155"/>
      <c r="J29" s="155"/>
      <c r="K29" s="155"/>
      <c r="L29" s="155"/>
      <c r="M29" s="155"/>
      <c r="N29" s="155"/>
      <c r="O29" s="155"/>
      <c r="P29" s="155">
        <v>0</v>
      </c>
      <c r="Q29" s="156">
        <v>0</v>
      </c>
      <c r="R29" s="21">
        <f t="shared" si="1"/>
        <v>0</v>
      </c>
      <c r="S29" s="12">
        <f t="shared" si="0"/>
        <v>0</v>
      </c>
    </row>
    <row r="30" spans="1:19" ht="22.25" customHeight="1" x14ac:dyDescent="0.35">
      <c r="A30" s="180" t="s">
        <v>331</v>
      </c>
      <c r="B30" s="168" t="s">
        <v>200</v>
      </c>
      <c r="C30" s="168" t="s">
        <v>201</v>
      </c>
      <c r="D30" s="178" t="s">
        <v>332</v>
      </c>
      <c r="E30" s="179">
        <v>1000</v>
      </c>
      <c r="F30" s="155"/>
      <c r="G30" s="155"/>
      <c r="H30" s="155"/>
      <c r="I30" s="155"/>
      <c r="J30" s="155"/>
      <c r="K30" s="155">
        <v>1</v>
      </c>
      <c r="L30" s="155">
        <v>1</v>
      </c>
      <c r="M30" s="155">
        <v>1</v>
      </c>
      <c r="N30" s="155">
        <v>1</v>
      </c>
      <c r="O30" s="155"/>
      <c r="P30" s="155">
        <v>0</v>
      </c>
      <c r="Q30" s="156">
        <v>0</v>
      </c>
      <c r="R30" s="21">
        <f t="shared" si="1"/>
        <v>4</v>
      </c>
      <c r="S30" s="12">
        <f t="shared" si="0"/>
        <v>4000</v>
      </c>
    </row>
    <row r="31" spans="1:19" ht="22.25" customHeight="1" x14ac:dyDescent="0.35">
      <c r="A31" s="180" t="s">
        <v>331</v>
      </c>
      <c r="B31" s="168" t="s">
        <v>196</v>
      </c>
      <c r="C31" s="168" t="s">
        <v>197</v>
      </c>
      <c r="D31" s="178" t="s">
        <v>332</v>
      </c>
      <c r="E31" s="179">
        <v>1000</v>
      </c>
      <c r="F31" s="155"/>
      <c r="G31" s="155"/>
      <c r="H31" s="155"/>
      <c r="I31" s="155"/>
      <c r="J31" s="155"/>
      <c r="K31" s="155"/>
      <c r="L31" s="155"/>
      <c r="M31" s="155"/>
      <c r="N31" s="155"/>
      <c r="O31" s="155"/>
      <c r="P31" s="155"/>
      <c r="Q31" s="156"/>
      <c r="R31" s="21"/>
      <c r="S31" s="12"/>
    </row>
    <row r="32" spans="1:19" ht="22.25" customHeight="1" x14ac:dyDescent="0.35">
      <c r="A32" s="180" t="s">
        <v>331</v>
      </c>
      <c r="B32" s="168" t="s">
        <v>196</v>
      </c>
      <c r="C32" s="168" t="s">
        <v>197</v>
      </c>
      <c r="D32" s="178" t="s">
        <v>332</v>
      </c>
      <c r="E32" s="179">
        <v>1000</v>
      </c>
      <c r="F32" s="155"/>
      <c r="G32" s="155"/>
      <c r="H32" s="155"/>
      <c r="I32" s="155"/>
      <c r="J32" s="155"/>
      <c r="K32" s="155"/>
      <c r="L32" s="155"/>
      <c r="M32" s="155"/>
      <c r="N32" s="155"/>
      <c r="O32" s="155"/>
      <c r="P32" s="155">
        <v>0</v>
      </c>
      <c r="Q32" s="156">
        <v>0</v>
      </c>
      <c r="R32" s="21">
        <f t="shared" si="1"/>
        <v>0</v>
      </c>
      <c r="S32" s="12">
        <f t="shared" si="0"/>
        <v>0</v>
      </c>
    </row>
    <row r="33" spans="1:27" ht="22.25" customHeight="1" x14ac:dyDescent="0.35">
      <c r="A33" s="180" t="s">
        <v>331</v>
      </c>
      <c r="B33" s="168" t="s">
        <v>196</v>
      </c>
      <c r="C33" s="168" t="s">
        <v>197</v>
      </c>
      <c r="D33" s="178" t="s">
        <v>332</v>
      </c>
      <c r="E33" s="179">
        <v>1000</v>
      </c>
      <c r="F33" s="155"/>
      <c r="G33" s="155"/>
      <c r="H33" s="155"/>
      <c r="I33" s="155"/>
      <c r="J33" s="155"/>
      <c r="K33" s="155"/>
      <c r="L33" s="155"/>
      <c r="M33" s="155"/>
      <c r="N33" s="155"/>
      <c r="O33" s="155"/>
      <c r="P33" s="155">
        <v>0</v>
      </c>
      <c r="Q33" s="156">
        <v>0</v>
      </c>
      <c r="R33" s="21">
        <f t="shared" si="1"/>
        <v>0</v>
      </c>
      <c r="S33" s="12">
        <f t="shared" si="0"/>
        <v>0</v>
      </c>
    </row>
    <row r="34" spans="1:27" ht="15.5" x14ac:dyDescent="0.35">
      <c r="A34" s="22"/>
      <c r="B34" s="23"/>
      <c r="C34" s="23"/>
      <c r="D34" s="23"/>
      <c r="E34" s="177" t="s">
        <v>208</v>
      </c>
      <c r="F34" s="24">
        <f t="shared" ref="F34:S34" si="2">SUM(F10:F33)</f>
        <v>111</v>
      </c>
      <c r="G34" s="24">
        <f t="shared" si="2"/>
        <v>34</v>
      </c>
      <c r="H34" s="24">
        <f t="shared" si="2"/>
        <v>4</v>
      </c>
      <c r="I34" s="24">
        <f t="shared" si="2"/>
        <v>0</v>
      </c>
      <c r="J34" s="24">
        <f t="shared" si="2"/>
        <v>1</v>
      </c>
      <c r="K34" s="24">
        <f t="shared" si="2"/>
        <v>1</v>
      </c>
      <c r="L34" s="24">
        <f t="shared" si="2"/>
        <v>1</v>
      </c>
      <c r="M34" s="24">
        <f t="shared" si="2"/>
        <v>1</v>
      </c>
      <c r="N34" s="24">
        <f t="shared" si="2"/>
        <v>1</v>
      </c>
      <c r="O34" s="24">
        <f t="shared" si="2"/>
        <v>0</v>
      </c>
      <c r="P34" s="24">
        <f t="shared" si="2"/>
        <v>0</v>
      </c>
      <c r="Q34" s="24">
        <f t="shared" si="2"/>
        <v>0</v>
      </c>
      <c r="R34" s="24">
        <f t="shared" si="2"/>
        <v>154</v>
      </c>
      <c r="S34" s="504">
        <f t="shared" si="2"/>
        <v>259948</v>
      </c>
    </row>
    <row r="35" spans="1:27" ht="15.5" x14ac:dyDescent="0.35">
      <c r="A35" s="22"/>
      <c r="B35" s="23"/>
      <c r="C35" s="23"/>
      <c r="D35" s="23"/>
      <c r="E35" s="177" t="s">
        <v>209</v>
      </c>
      <c r="F35" s="175">
        <f t="shared" ref="F35:Q35" si="3">SUM((F10*$E$10)+(F11*$E$11)+(F12*$E$12)+(F13*$E$13)+(F14*$E$14)+(F15*$E$15)+(F16*$E$16)+(F17*$E$17)+(F18*$E$18)+(F19*$E$19)+(F20*$E$20)+(F21*$E$21)+(F22*$E$22)+(F23*$E$23)+(F24*$E$24)+(F25*$E$25)+(F26*$E$26)+(F27*$E$27)+(F28*$E$28)+(F29*$E$29)+(F30*$E$30)+(F32*$E$32)+(F33*$E$33))</f>
        <v>163504</v>
      </c>
      <c r="G35" s="175">
        <f t="shared" si="3"/>
        <v>79386</v>
      </c>
      <c r="H35" s="175">
        <f t="shared" si="3"/>
        <v>10358</v>
      </c>
      <c r="I35" s="175">
        <f t="shared" si="3"/>
        <v>0</v>
      </c>
      <c r="J35" s="175">
        <f t="shared" si="3"/>
        <v>2700</v>
      </c>
      <c r="K35" s="175">
        <f t="shared" si="3"/>
        <v>1000</v>
      </c>
      <c r="L35" s="175">
        <f t="shared" si="3"/>
        <v>1000</v>
      </c>
      <c r="M35" s="175">
        <f t="shared" si="3"/>
        <v>1000</v>
      </c>
      <c r="N35" s="175">
        <f t="shared" si="3"/>
        <v>1000</v>
      </c>
      <c r="O35" s="175">
        <f t="shared" si="3"/>
        <v>0</v>
      </c>
      <c r="P35" s="175">
        <f t="shared" si="3"/>
        <v>0</v>
      </c>
      <c r="Q35" s="175">
        <f t="shared" si="3"/>
        <v>0</v>
      </c>
      <c r="R35" s="175"/>
      <c r="S35" s="505"/>
    </row>
    <row r="36" spans="1:27" ht="15.5" x14ac:dyDescent="0.35">
      <c r="A36" s="1"/>
      <c r="B36" s="5"/>
      <c r="C36" s="5"/>
      <c r="D36" s="5"/>
      <c r="E36" s="5"/>
      <c r="F36" s="493" t="s">
        <v>210</v>
      </c>
      <c r="G36" s="493"/>
      <c r="H36" s="493"/>
      <c r="I36" s="493"/>
      <c r="J36" s="493"/>
      <c r="K36" s="493"/>
      <c r="L36" s="493"/>
      <c r="M36" s="493"/>
      <c r="N36" s="493"/>
      <c r="O36" s="493"/>
      <c r="P36" s="493"/>
      <c r="Q36" s="493"/>
      <c r="R36" s="493"/>
      <c r="S36" s="505"/>
    </row>
    <row r="37" spans="1:27" x14ac:dyDescent="0.35">
      <c r="P37"/>
      <c r="Q37"/>
      <c r="R37"/>
    </row>
    <row r="38" spans="1:27" ht="44.15" customHeight="1" x14ac:dyDescent="0.45">
      <c r="A38" s="506" t="s">
        <v>356</v>
      </c>
      <c r="B38" s="456"/>
      <c r="C38" s="456"/>
      <c r="D38" s="456"/>
      <c r="E38" s="456"/>
      <c r="F38" s="107"/>
      <c r="G38" s="16"/>
      <c r="H38" s="16"/>
      <c r="I38" s="16"/>
      <c r="J38" s="16"/>
      <c r="K38" s="16"/>
      <c r="L38" s="16"/>
      <c r="M38" s="16"/>
      <c r="N38" s="16"/>
      <c r="O38" s="16"/>
      <c r="P38" s="16"/>
      <c r="Q38" s="16"/>
      <c r="R38"/>
    </row>
    <row r="39" spans="1:27" x14ac:dyDescent="0.35">
      <c r="A39" s="498" t="s">
        <v>357</v>
      </c>
      <c r="B39" s="499"/>
      <c r="C39" s="499"/>
      <c r="D39" s="499"/>
      <c r="E39" s="499"/>
      <c r="F39" s="167">
        <v>10</v>
      </c>
      <c r="P39"/>
      <c r="Q39"/>
      <c r="R39"/>
    </row>
    <row r="40" spans="1:27" x14ac:dyDescent="0.35">
      <c r="A40" s="501" t="s">
        <v>358</v>
      </c>
      <c r="B40" s="501"/>
      <c r="C40" s="501"/>
      <c r="D40" s="501"/>
      <c r="E40" s="501"/>
      <c r="F40" s="167"/>
      <c r="G40" s="167"/>
      <c r="H40" s="167" t="s">
        <v>359</v>
      </c>
      <c r="I40" s="167"/>
      <c r="J40" s="167" t="s">
        <v>360</v>
      </c>
      <c r="K40" s="167"/>
      <c r="L40" s="167"/>
      <c r="M40" s="167"/>
      <c r="N40" s="167" t="s">
        <v>361</v>
      </c>
      <c r="O40" s="167"/>
      <c r="P40" s="167"/>
      <c r="Q40" s="167"/>
    </row>
    <row r="41" spans="1:27" x14ac:dyDescent="0.35">
      <c r="A41" s="4"/>
      <c r="B41" s="4"/>
      <c r="C41" s="10"/>
      <c r="D41" s="19"/>
      <c r="E41" s="19"/>
      <c r="F41" s="19"/>
      <c r="G41" s="11"/>
      <c r="H41" s="11"/>
      <c r="I41" s="11"/>
      <c r="J41" s="11"/>
      <c r="K41" s="11"/>
      <c r="L41" s="11"/>
      <c r="M41" s="11"/>
      <c r="N41" s="11"/>
      <c r="O41" s="11"/>
      <c r="P41" s="6"/>
      <c r="Q41" s="6"/>
      <c r="R41" s="6"/>
    </row>
    <row r="42" spans="1:27" x14ac:dyDescent="0.35">
      <c r="A42" s="502" t="s">
        <v>339</v>
      </c>
      <c r="B42" s="502" t="s">
        <v>340</v>
      </c>
      <c r="C42" s="502" t="s">
        <v>341</v>
      </c>
      <c r="D42" s="502" t="s">
        <v>342</v>
      </c>
      <c r="E42" s="425" t="s">
        <v>158</v>
      </c>
      <c r="F42" s="20" t="s">
        <v>298</v>
      </c>
      <c r="G42" s="20" t="s">
        <v>299</v>
      </c>
      <c r="H42" s="20" t="s">
        <v>300</v>
      </c>
      <c r="I42" s="20" t="s">
        <v>301</v>
      </c>
      <c r="J42" s="20" t="s">
        <v>362</v>
      </c>
      <c r="K42" s="20" t="s">
        <v>363</v>
      </c>
      <c r="L42" s="20" t="s">
        <v>364</v>
      </c>
      <c r="M42" s="20" t="s">
        <v>365</v>
      </c>
      <c r="N42" s="20" t="s">
        <v>366</v>
      </c>
      <c r="O42" s="20" t="s">
        <v>367</v>
      </c>
      <c r="P42" s="20" t="s">
        <v>368</v>
      </c>
      <c r="Q42" s="20" t="s">
        <v>369</v>
      </c>
      <c r="R42" s="45" t="s">
        <v>163</v>
      </c>
      <c r="S42" s="45" t="s">
        <v>164</v>
      </c>
    </row>
    <row r="43" spans="1:27" ht="43.5" customHeight="1" x14ac:dyDescent="0.35">
      <c r="A43" s="503"/>
      <c r="B43" s="503"/>
      <c r="C43" s="503"/>
      <c r="D43" s="503"/>
      <c r="E43" s="445"/>
      <c r="F43" s="37" t="s">
        <v>168</v>
      </c>
      <c r="G43" s="37" t="s">
        <v>168</v>
      </c>
      <c r="H43" s="37" t="s">
        <v>168</v>
      </c>
      <c r="I43" s="37" t="s">
        <v>168</v>
      </c>
      <c r="J43" s="37" t="s">
        <v>168</v>
      </c>
      <c r="K43" s="37" t="s">
        <v>168</v>
      </c>
      <c r="L43" s="37" t="s">
        <v>168</v>
      </c>
      <c r="M43" s="37" t="s">
        <v>168</v>
      </c>
      <c r="N43" s="37" t="s">
        <v>168</v>
      </c>
      <c r="O43" s="37" t="s">
        <v>168</v>
      </c>
      <c r="P43" s="37" t="s">
        <v>168</v>
      </c>
      <c r="Q43" s="37" t="s">
        <v>168</v>
      </c>
      <c r="R43" s="46"/>
      <c r="S43" s="46"/>
      <c r="U43" t="s">
        <v>302</v>
      </c>
      <c r="V43" t="s">
        <v>172</v>
      </c>
      <c r="W43" t="s">
        <v>303</v>
      </c>
      <c r="X43" t="s">
        <v>304</v>
      </c>
    </row>
    <row r="44" spans="1:27" x14ac:dyDescent="0.35">
      <c r="A44" s="165" t="s">
        <v>244</v>
      </c>
      <c r="B44" s="168" t="s">
        <v>174</v>
      </c>
      <c r="C44" s="168" t="s">
        <v>177</v>
      </c>
      <c r="D44" s="169" t="s">
        <v>172</v>
      </c>
      <c r="E44" s="21">
        <f>VLOOKUP(C44,Lists!$Q$5:$U$25, MATCH(D44,Lists!$Q$4:$U$4,0),0)</f>
        <v>2422</v>
      </c>
      <c r="F44" s="155">
        <v>1</v>
      </c>
      <c r="G44" s="155">
        <v>1</v>
      </c>
      <c r="H44" s="155">
        <v>1</v>
      </c>
      <c r="I44" s="155">
        <v>1</v>
      </c>
      <c r="J44" s="155"/>
      <c r="K44" s="155"/>
      <c r="L44" s="155"/>
      <c r="M44" s="155">
        <v>10</v>
      </c>
      <c r="N44" s="155"/>
      <c r="O44" s="155"/>
      <c r="P44" s="155">
        <v>0</v>
      </c>
      <c r="Q44" s="156">
        <v>0</v>
      </c>
      <c r="R44" s="36">
        <f>SUM(F44:Q44)</f>
        <v>14</v>
      </c>
      <c r="S44" s="12">
        <f>R44*$E$44</f>
        <v>33908</v>
      </c>
      <c r="T44" s="12"/>
      <c r="U44" s="12"/>
      <c r="V44" s="12"/>
      <c r="W44" s="12"/>
      <c r="X44" s="12"/>
      <c r="Y44" s="12"/>
      <c r="Z44" s="12"/>
      <c r="AA44" s="12"/>
    </row>
    <row r="45" spans="1:27" x14ac:dyDescent="0.35">
      <c r="A45" s="165" t="s">
        <v>245</v>
      </c>
      <c r="B45" s="168" t="s">
        <v>182</v>
      </c>
      <c r="C45" s="168" t="s">
        <v>370</v>
      </c>
      <c r="D45" s="169" t="s">
        <v>254</v>
      </c>
      <c r="E45" s="21">
        <f>VLOOKUP(C45,Lists!$Q$5:$U$25, MATCH(D45,Lists!$Q$4:$U$4,0),0)</f>
        <v>2200</v>
      </c>
      <c r="F45" s="155">
        <v>10</v>
      </c>
      <c r="G45" s="155">
        <v>5</v>
      </c>
      <c r="H45" s="155"/>
      <c r="I45" s="155"/>
      <c r="J45" s="155">
        <v>1</v>
      </c>
      <c r="K45" s="155"/>
      <c r="L45" s="155"/>
      <c r="M45" s="155"/>
      <c r="N45" s="155"/>
      <c r="O45" s="155"/>
      <c r="P45" s="155">
        <v>0</v>
      </c>
      <c r="Q45" s="156">
        <v>0</v>
      </c>
      <c r="R45" s="21">
        <f>SUM(F45:Q45)</f>
        <v>16</v>
      </c>
      <c r="S45" s="12">
        <f t="shared" ref="S45:S50" si="4">R45*$E$44</f>
        <v>38752</v>
      </c>
      <c r="U45" t="s">
        <v>302</v>
      </c>
      <c r="V45" t="s">
        <v>172</v>
      </c>
      <c r="W45" t="s">
        <v>303</v>
      </c>
      <c r="X45" t="s">
        <v>304</v>
      </c>
    </row>
    <row r="46" spans="1:27" x14ac:dyDescent="0.35">
      <c r="A46" s="165" t="s">
        <v>248</v>
      </c>
      <c r="B46" s="168" t="s">
        <v>187</v>
      </c>
      <c r="C46" s="168" t="s">
        <v>249</v>
      </c>
      <c r="D46" s="169" t="s">
        <v>254</v>
      </c>
      <c r="E46" s="21">
        <f>VLOOKUP(C46,Lists!$Q$5:$U$25, MATCH(D46,Lists!$Q$4:$U$4,0),0)</f>
        <v>1300</v>
      </c>
      <c r="F46" s="155">
        <v>5</v>
      </c>
      <c r="G46" s="155">
        <v>20</v>
      </c>
      <c r="H46" s="155">
        <v>2</v>
      </c>
      <c r="I46" s="155"/>
      <c r="J46" s="155"/>
      <c r="K46" s="155"/>
      <c r="L46" s="155"/>
      <c r="M46" s="155"/>
      <c r="N46" s="155"/>
      <c r="O46" s="155"/>
      <c r="P46" s="155">
        <v>0</v>
      </c>
      <c r="Q46" s="156">
        <v>0</v>
      </c>
      <c r="R46" s="21">
        <f t="shared" ref="R46:R67" si="5">SUM(F46:Q46)</f>
        <v>27</v>
      </c>
      <c r="S46" s="12">
        <f t="shared" si="4"/>
        <v>65394</v>
      </c>
      <c r="U46" t="s">
        <v>302</v>
      </c>
      <c r="V46" t="s">
        <v>172</v>
      </c>
      <c r="W46" t="s">
        <v>303</v>
      </c>
      <c r="X46" t="s">
        <v>304</v>
      </c>
    </row>
    <row r="47" spans="1:27" x14ac:dyDescent="0.35">
      <c r="A47" s="165"/>
      <c r="B47" s="168" t="s">
        <v>200</v>
      </c>
      <c r="C47" s="168" t="s">
        <v>250</v>
      </c>
      <c r="D47" s="169" t="s">
        <v>172</v>
      </c>
      <c r="E47" s="21">
        <f>VLOOKUP(C47,Lists!$Q$5:$U$25, MATCH(D47,Lists!$Q$4:$U$4,0),0)</f>
        <v>1800</v>
      </c>
      <c r="F47" s="155">
        <v>1</v>
      </c>
      <c r="G47" s="155">
        <v>1</v>
      </c>
      <c r="H47" s="155"/>
      <c r="I47" s="155"/>
      <c r="J47" s="155"/>
      <c r="K47" s="155"/>
      <c r="L47" s="155"/>
      <c r="M47" s="155"/>
      <c r="N47" s="155"/>
      <c r="O47" s="155"/>
      <c r="P47" s="155">
        <v>0</v>
      </c>
      <c r="Q47" s="156">
        <v>0</v>
      </c>
      <c r="R47" s="21">
        <f t="shared" si="5"/>
        <v>2</v>
      </c>
      <c r="S47" s="12">
        <f t="shared" si="4"/>
        <v>4844</v>
      </c>
      <c r="U47" t="s">
        <v>302</v>
      </c>
      <c r="V47" t="s">
        <v>172</v>
      </c>
      <c r="W47" t="s">
        <v>303</v>
      </c>
      <c r="X47" t="s">
        <v>304</v>
      </c>
    </row>
    <row r="48" spans="1:27" x14ac:dyDescent="0.35">
      <c r="A48" s="165" t="s">
        <v>251</v>
      </c>
      <c r="B48" s="168" t="s">
        <v>200</v>
      </c>
      <c r="C48" s="168" t="s">
        <v>252</v>
      </c>
      <c r="D48" s="169" t="s">
        <v>254</v>
      </c>
      <c r="E48" s="21">
        <f>VLOOKUP(C48,Lists!$Q$5:$U$25, MATCH(D48,Lists!$Q$4:$U$4,0),0)</f>
        <v>1400</v>
      </c>
      <c r="F48" s="155"/>
      <c r="G48" s="155"/>
      <c r="H48" s="155"/>
      <c r="I48" s="155"/>
      <c r="J48" s="155"/>
      <c r="K48" s="155"/>
      <c r="L48" s="155"/>
      <c r="M48" s="155"/>
      <c r="N48" s="155"/>
      <c r="O48" s="155"/>
      <c r="P48" s="155">
        <v>0</v>
      </c>
      <c r="Q48" s="156">
        <v>0</v>
      </c>
      <c r="R48" s="21">
        <f t="shared" si="5"/>
        <v>0</v>
      </c>
      <c r="S48" s="12">
        <f t="shared" si="4"/>
        <v>0</v>
      </c>
      <c r="U48" t="s">
        <v>302</v>
      </c>
      <c r="V48" t="s">
        <v>172</v>
      </c>
      <c r="W48" t="s">
        <v>303</v>
      </c>
      <c r="X48" t="s">
        <v>304</v>
      </c>
    </row>
    <row r="49" spans="1:24" x14ac:dyDescent="0.35">
      <c r="A49" s="165"/>
      <c r="B49" s="168" t="s">
        <v>182</v>
      </c>
      <c r="C49" s="168" t="s">
        <v>183</v>
      </c>
      <c r="D49" s="169" t="s">
        <v>189</v>
      </c>
      <c r="E49" s="21">
        <f>VLOOKUP(C49,Lists!$Q$5:$U$25, MATCH(D49,Lists!$Q$4:$U$4,0),0)</f>
        <v>2200</v>
      </c>
      <c r="F49" s="155"/>
      <c r="G49" s="155"/>
      <c r="H49" s="155"/>
      <c r="I49" s="155"/>
      <c r="J49" s="155"/>
      <c r="K49" s="155"/>
      <c r="L49" s="155"/>
      <c r="M49" s="155"/>
      <c r="N49" s="155"/>
      <c r="O49" s="155"/>
      <c r="P49" s="155">
        <v>0</v>
      </c>
      <c r="Q49" s="156">
        <v>0</v>
      </c>
      <c r="R49" s="21">
        <f t="shared" si="5"/>
        <v>0</v>
      </c>
      <c r="S49" s="12">
        <f t="shared" si="4"/>
        <v>0</v>
      </c>
      <c r="U49">
        <f t="shared" ref="U49:U67" si="6">IF(C49="Project Manager/ Scrum Master", S49,IF(C49="Program Manager",S49,0))</f>
        <v>0</v>
      </c>
      <c r="V49">
        <f t="shared" ref="V49:V67" si="7">IF(D49="Internal", S49,0)</f>
        <v>0</v>
      </c>
      <c r="W49">
        <f t="shared" ref="W49:W67" si="8">IF(D49="External - onsite", S49,0)</f>
        <v>0</v>
      </c>
      <c r="X49">
        <f t="shared" ref="X49:X67" si="9">IF(D49="External - Offshore", S49,IF(D49="External - Nearshore",S49,0))</f>
        <v>0</v>
      </c>
    </row>
    <row r="50" spans="1:24" x14ac:dyDescent="0.35">
      <c r="A50" s="165" t="s">
        <v>253</v>
      </c>
      <c r="B50" s="168" t="s">
        <v>196</v>
      </c>
      <c r="C50" s="168" t="s">
        <v>197</v>
      </c>
      <c r="D50" s="169" t="s">
        <v>254</v>
      </c>
      <c r="E50" s="21">
        <f>VLOOKUP(C50,Lists!$Q$5:$U$25, MATCH(D50,Lists!$Q$4:$U$4,0),0)</f>
        <v>1300</v>
      </c>
      <c r="F50" s="155"/>
      <c r="G50" s="155"/>
      <c r="H50" s="155"/>
      <c r="I50" s="155"/>
      <c r="J50" s="155"/>
      <c r="K50" s="155"/>
      <c r="L50" s="155"/>
      <c r="M50" s="155"/>
      <c r="N50" s="155"/>
      <c r="O50" s="155"/>
      <c r="P50" s="155">
        <v>0</v>
      </c>
      <c r="Q50" s="156">
        <v>0</v>
      </c>
      <c r="R50" s="21">
        <f t="shared" si="5"/>
        <v>0</v>
      </c>
      <c r="S50" s="12">
        <f t="shared" si="4"/>
        <v>0</v>
      </c>
      <c r="U50">
        <f t="shared" si="6"/>
        <v>0</v>
      </c>
      <c r="V50">
        <f t="shared" si="7"/>
        <v>0</v>
      </c>
      <c r="W50">
        <f t="shared" si="8"/>
        <v>0</v>
      </c>
      <c r="X50">
        <f t="shared" si="9"/>
        <v>0</v>
      </c>
    </row>
    <row r="51" spans="1:24" x14ac:dyDescent="0.35">
      <c r="A51" s="165"/>
      <c r="B51" s="168" t="s">
        <v>187</v>
      </c>
      <c r="C51" s="168" t="s">
        <v>185</v>
      </c>
      <c r="D51" s="169" t="s">
        <v>180</v>
      </c>
      <c r="E51" s="21">
        <f>VLOOKUP(C51,Lists!$Q$5:$U$25, MATCH(D51,Lists!$Q$4:$U$4,0),0)</f>
        <v>615</v>
      </c>
      <c r="F51" s="155"/>
      <c r="G51" s="155"/>
      <c r="H51" s="155"/>
      <c r="I51" s="155"/>
      <c r="J51" s="155"/>
      <c r="K51" s="155"/>
      <c r="L51" s="155"/>
      <c r="M51" s="155"/>
      <c r="N51" s="155"/>
      <c r="O51" s="155"/>
      <c r="P51" s="155">
        <v>0</v>
      </c>
      <c r="Q51" s="156">
        <v>0</v>
      </c>
      <c r="R51" s="21">
        <f t="shared" si="5"/>
        <v>0</v>
      </c>
      <c r="S51" s="12">
        <f>R51*$E51</f>
        <v>0</v>
      </c>
      <c r="U51">
        <f t="shared" si="6"/>
        <v>0</v>
      </c>
      <c r="V51">
        <f t="shared" si="7"/>
        <v>0</v>
      </c>
      <c r="W51">
        <f t="shared" si="8"/>
        <v>0</v>
      </c>
      <c r="X51">
        <f t="shared" si="9"/>
        <v>0</v>
      </c>
    </row>
    <row r="52" spans="1:24" x14ac:dyDescent="0.35">
      <c r="A52" s="165"/>
      <c r="B52" s="168" t="s">
        <v>170</v>
      </c>
      <c r="C52" s="168" t="s">
        <v>255</v>
      </c>
      <c r="D52" s="169" t="s">
        <v>172</v>
      </c>
      <c r="E52" s="21">
        <f>VLOOKUP(C52,Lists!$Q$5:$U$25, MATCH(D52,Lists!$Q$4:$U$4,0),0)</f>
        <v>1800</v>
      </c>
      <c r="F52" s="155"/>
      <c r="G52" s="155"/>
      <c r="H52" s="155"/>
      <c r="I52" s="155"/>
      <c r="J52" s="155"/>
      <c r="K52" s="155"/>
      <c r="L52" s="155"/>
      <c r="M52" s="155"/>
      <c r="N52" s="155"/>
      <c r="O52" s="155"/>
      <c r="P52" s="155">
        <v>0</v>
      </c>
      <c r="Q52" s="156">
        <v>0</v>
      </c>
      <c r="R52" s="21">
        <f t="shared" si="5"/>
        <v>0</v>
      </c>
      <c r="S52" s="12">
        <f>R52*$E52</f>
        <v>0</v>
      </c>
      <c r="U52">
        <f t="shared" si="6"/>
        <v>0</v>
      </c>
      <c r="V52">
        <f t="shared" si="7"/>
        <v>0</v>
      </c>
      <c r="W52">
        <f t="shared" si="8"/>
        <v>0</v>
      </c>
      <c r="X52">
        <f t="shared" si="9"/>
        <v>0</v>
      </c>
    </row>
    <row r="53" spans="1:24" x14ac:dyDescent="0.35">
      <c r="A53" s="165"/>
      <c r="B53" s="168" t="s">
        <v>187</v>
      </c>
      <c r="C53" s="168" t="s">
        <v>185</v>
      </c>
      <c r="D53" s="169" t="s">
        <v>180</v>
      </c>
      <c r="E53" s="21">
        <f>VLOOKUP(C53,Lists!$Q$5:$U$25, MATCH(D53,Lists!$Q$4:$U$4,0),0)</f>
        <v>615</v>
      </c>
      <c r="F53" s="155"/>
      <c r="G53" s="155"/>
      <c r="H53" s="155"/>
      <c r="I53" s="155"/>
      <c r="J53" s="155"/>
      <c r="K53" s="155"/>
      <c r="L53" s="155"/>
      <c r="M53" s="155"/>
      <c r="N53" s="155"/>
      <c r="O53" s="155"/>
      <c r="P53" s="155">
        <v>0</v>
      </c>
      <c r="Q53" s="156">
        <v>0</v>
      </c>
      <c r="R53" s="21">
        <f t="shared" si="5"/>
        <v>0</v>
      </c>
      <c r="S53" s="12">
        <f>R53*$E53</f>
        <v>0</v>
      </c>
      <c r="U53">
        <f t="shared" si="6"/>
        <v>0</v>
      </c>
      <c r="V53">
        <f t="shared" si="7"/>
        <v>0</v>
      </c>
      <c r="W53">
        <f t="shared" si="8"/>
        <v>0</v>
      </c>
      <c r="X53">
        <f t="shared" si="9"/>
        <v>0</v>
      </c>
    </row>
    <row r="54" spans="1:24" x14ac:dyDescent="0.35">
      <c r="A54" s="165"/>
      <c r="B54" s="168" t="s">
        <v>187</v>
      </c>
      <c r="C54" s="168" t="s">
        <v>185</v>
      </c>
      <c r="D54" s="169" t="s">
        <v>254</v>
      </c>
      <c r="E54" s="21">
        <f>VLOOKUP(C54,Lists!$Q$5:$U$25, MATCH(D54,Lists!$Q$4:$U$4,0),0)</f>
        <v>1300</v>
      </c>
      <c r="F54" s="155"/>
      <c r="G54" s="155"/>
      <c r="H54" s="155"/>
      <c r="I54" s="155"/>
      <c r="J54" s="155"/>
      <c r="K54" s="155"/>
      <c r="L54" s="155"/>
      <c r="M54" s="155"/>
      <c r="N54" s="155"/>
      <c r="O54" s="155"/>
      <c r="P54" s="155">
        <v>0</v>
      </c>
      <c r="Q54" s="156">
        <v>0</v>
      </c>
      <c r="R54" s="21">
        <f t="shared" si="5"/>
        <v>0</v>
      </c>
      <c r="S54" s="12">
        <f>R54*$E54</f>
        <v>0</v>
      </c>
      <c r="U54">
        <f t="shared" si="6"/>
        <v>0</v>
      </c>
      <c r="V54">
        <f t="shared" si="7"/>
        <v>0</v>
      </c>
      <c r="W54">
        <f t="shared" si="8"/>
        <v>0</v>
      </c>
      <c r="X54">
        <f t="shared" si="9"/>
        <v>0</v>
      </c>
    </row>
    <row r="55" spans="1:24" x14ac:dyDescent="0.35">
      <c r="A55" s="165"/>
      <c r="B55" s="168" t="s">
        <v>187</v>
      </c>
      <c r="C55" s="168" t="s">
        <v>185</v>
      </c>
      <c r="D55" s="169" t="s">
        <v>180</v>
      </c>
      <c r="E55" s="21">
        <f>VLOOKUP(C55,Lists!$Q$5:$U$25, MATCH(D55,Lists!$Q$4:$U$4,0),0)</f>
        <v>615</v>
      </c>
      <c r="F55" s="155"/>
      <c r="G55" s="155"/>
      <c r="H55" s="155"/>
      <c r="I55" s="155"/>
      <c r="J55" s="155"/>
      <c r="K55" s="155"/>
      <c r="L55" s="155"/>
      <c r="M55" s="155"/>
      <c r="N55" s="155"/>
      <c r="O55" s="155"/>
      <c r="P55" s="155">
        <v>0</v>
      </c>
      <c r="Q55" s="156">
        <v>0</v>
      </c>
      <c r="R55" s="21">
        <f t="shared" si="5"/>
        <v>0</v>
      </c>
      <c r="S55" s="12">
        <f t="shared" ref="S55:S68" si="10">R55*E55</f>
        <v>0</v>
      </c>
      <c r="U55">
        <f t="shared" si="6"/>
        <v>0</v>
      </c>
      <c r="V55">
        <f t="shared" si="7"/>
        <v>0</v>
      </c>
      <c r="W55">
        <f t="shared" si="8"/>
        <v>0</v>
      </c>
      <c r="X55">
        <f t="shared" si="9"/>
        <v>0</v>
      </c>
    </row>
    <row r="56" spans="1:24" x14ac:dyDescent="0.35">
      <c r="A56" s="165"/>
      <c r="B56" s="168" t="s">
        <v>187</v>
      </c>
      <c r="C56" s="168" t="s">
        <v>185</v>
      </c>
      <c r="D56" s="169" t="s">
        <v>180</v>
      </c>
      <c r="E56" s="21">
        <f>VLOOKUP(C56,Lists!$Q$5:$U$25, MATCH(D56,Lists!$Q$4:$U$4,0),0)</f>
        <v>615</v>
      </c>
      <c r="F56" s="155"/>
      <c r="G56" s="155"/>
      <c r="H56" s="155"/>
      <c r="I56" s="155"/>
      <c r="J56" s="155"/>
      <c r="K56" s="155"/>
      <c r="L56" s="155"/>
      <c r="M56" s="155"/>
      <c r="N56" s="155"/>
      <c r="O56" s="155"/>
      <c r="P56" s="155">
        <v>0</v>
      </c>
      <c r="Q56" s="156">
        <v>0</v>
      </c>
      <c r="R56" s="21">
        <f t="shared" si="5"/>
        <v>0</v>
      </c>
      <c r="S56" s="12">
        <f t="shared" si="10"/>
        <v>0</v>
      </c>
      <c r="U56">
        <f t="shared" si="6"/>
        <v>0</v>
      </c>
      <c r="V56">
        <f t="shared" si="7"/>
        <v>0</v>
      </c>
      <c r="W56">
        <f t="shared" si="8"/>
        <v>0</v>
      </c>
      <c r="X56">
        <f t="shared" si="9"/>
        <v>0</v>
      </c>
    </row>
    <row r="57" spans="1:24" x14ac:dyDescent="0.35">
      <c r="A57" s="165"/>
      <c r="B57" s="168" t="s">
        <v>187</v>
      </c>
      <c r="C57" s="168" t="s">
        <v>185</v>
      </c>
      <c r="D57" s="169" t="s">
        <v>180</v>
      </c>
      <c r="E57" s="21">
        <f>VLOOKUP(C57,Lists!$Q$5:$U$25, MATCH(D57,Lists!$Q$4:$U$4,0),0)</f>
        <v>615</v>
      </c>
      <c r="F57" s="155"/>
      <c r="G57" s="155"/>
      <c r="H57" s="155"/>
      <c r="I57" s="155"/>
      <c r="J57" s="155"/>
      <c r="K57" s="155"/>
      <c r="L57" s="155"/>
      <c r="M57" s="155"/>
      <c r="N57" s="155"/>
      <c r="O57" s="155"/>
      <c r="P57" s="155">
        <v>0</v>
      </c>
      <c r="Q57" s="156">
        <v>0</v>
      </c>
      <c r="R57" s="21">
        <f t="shared" si="5"/>
        <v>0</v>
      </c>
      <c r="S57" s="12">
        <f t="shared" si="10"/>
        <v>0</v>
      </c>
      <c r="U57">
        <f t="shared" si="6"/>
        <v>0</v>
      </c>
      <c r="V57">
        <f t="shared" si="7"/>
        <v>0</v>
      </c>
      <c r="W57">
        <f t="shared" si="8"/>
        <v>0</v>
      </c>
      <c r="X57">
        <f t="shared" si="9"/>
        <v>0</v>
      </c>
    </row>
    <row r="58" spans="1:24" x14ac:dyDescent="0.35">
      <c r="A58" s="165"/>
      <c r="B58" s="168" t="s">
        <v>196</v>
      </c>
      <c r="C58" s="168" t="s">
        <v>197</v>
      </c>
      <c r="D58" s="169" t="s">
        <v>189</v>
      </c>
      <c r="E58" s="21">
        <f>VLOOKUP(C58,Lists!$Q$5:$U$25, MATCH(D58,Lists!$Q$4:$U$4,0),0)</f>
        <v>1850</v>
      </c>
      <c r="F58" s="155"/>
      <c r="G58" s="155"/>
      <c r="H58" s="155"/>
      <c r="I58" s="155"/>
      <c r="J58" s="155"/>
      <c r="K58" s="155"/>
      <c r="L58" s="155"/>
      <c r="M58" s="155"/>
      <c r="N58" s="155"/>
      <c r="O58" s="155"/>
      <c r="P58" s="155">
        <v>0</v>
      </c>
      <c r="Q58" s="156">
        <v>0</v>
      </c>
      <c r="R58" s="21">
        <f t="shared" si="5"/>
        <v>0</v>
      </c>
      <c r="S58" s="12">
        <f t="shared" si="10"/>
        <v>0</v>
      </c>
      <c r="U58">
        <f t="shared" si="6"/>
        <v>0</v>
      </c>
      <c r="V58">
        <f t="shared" si="7"/>
        <v>0</v>
      </c>
      <c r="W58">
        <f t="shared" si="8"/>
        <v>0</v>
      </c>
      <c r="X58">
        <f t="shared" si="9"/>
        <v>0</v>
      </c>
    </row>
    <row r="59" spans="1:24" x14ac:dyDescent="0.35">
      <c r="A59" s="165"/>
      <c r="B59" s="168" t="s">
        <v>196</v>
      </c>
      <c r="C59" s="168" t="s">
        <v>333</v>
      </c>
      <c r="D59" s="169" t="s">
        <v>172</v>
      </c>
      <c r="E59" s="21">
        <f>VLOOKUP(C59,Lists!$Q$5:$U$25, MATCH(D59,Lists!$Q$4:$U$4,0),0)</f>
        <v>2300</v>
      </c>
      <c r="F59" s="155"/>
      <c r="G59" s="155"/>
      <c r="H59" s="155"/>
      <c r="I59" s="155"/>
      <c r="J59" s="155"/>
      <c r="K59" s="155"/>
      <c r="L59" s="155"/>
      <c r="M59" s="155"/>
      <c r="N59" s="155"/>
      <c r="O59" s="155"/>
      <c r="P59" s="155">
        <v>0</v>
      </c>
      <c r="Q59" s="156">
        <v>0</v>
      </c>
      <c r="R59" s="21">
        <f t="shared" si="5"/>
        <v>0</v>
      </c>
      <c r="S59" s="12">
        <f t="shared" si="10"/>
        <v>0</v>
      </c>
      <c r="U59">
        <f t="shared" si="6"/>
        <v>0</v>
      </c>
      <c r="V59">
        <f t="shared" si="7"/>
        <v>0</v>
      </c>
      <c r="W59">
        <f t="shared" si="8"/>
        <v>0</v>
      </c>
      <c r="X59">
        <f t="shared" si="9"/>
        <v>0</v>
      </c>
    </row>
    <row r="60" spans="1:24" x14ac:dyDescent="0.35">
      <c r="A60" s="165"/>
      <c r="B60" s="168" t="s">
        <v>196</v>
      </c>
      <c r="C60" s="168" t="s">
        <v>197</v>
      </c>
      <c r="D60" s="169" t="s">
        <v>172</v>
      </c>
      <c r="E60" s="21">
        <f>VLOOKUP(C60,Lists!$Q$5:$U$25, MATCH(D60,Lists!$Q$4:$U$4,0),0)</f>
        <v>1986</v>
      </c>
      <c r="F60" s="155"/>
      <c r="G60" s="155"/>
      <c r="H60" s="155"/>
      <c r="I60" s="155"/>
      <c r="J60" s="155"/>
      <c r="K60" s="155"/>
      <c r="L60" s="155"/>
      <c r="M60" s="155"/>
      <c r="N60" s="155"/>
      <c r="O60" s="155"/>
      <c r="P60" s="155">
        <v>0</v>
      </c>
      <c r="Q60" s="156">
        <v>0</v>
      </c>
      <c r="R60" s="21">
        <f t="shared" si="5"/>
        <v>0</v>
      </c>
      <c r="S60" s="12">
        <f t="shared" si="10"/>
        <v>0</v>
      </c>
      <c r="U60">
        <f t="shared" si="6"/>
        <v>0</v>
      </c>
      <c r="V60">
        <f t="shared" si="7"/>
        <v>0</v>
      </c>
      <c r="W60">
        <f t="shared" si="8"/>
        <v>0</v>
      </c>
      <c r="X60">
        <f t="shared" si="9"/>
        <v>0</v>
      </c>
    </row>
    <row r="61" spans="1:24" x14ac:dyDescent="0.35">
      <c r="A61" s="165"/>
      <c r="B61" s="168" t="s">
        <v>182</v>
      </c>
      <c r="C61" s="168" t="s">
        <v>370</v>
      </c>
      <c r="D61" s="169" t="s">
        <v>172</v>
      </c>
      <c r="E61" s="21">
        <f>VLOOKUP(C61,Lists!$Q$5:$U$25, MATCH(D61,Lists!$Q$4:$U$4,0),0)</f>
        <v>2825</v>
      </c>
      <c r="F61" s="155"/>
      <c r="G61" s="155"/>
      <c r="H61" s="155"/>
      <c r="I61" s="155"/>
      <c r="J61" s="155"/>
      <c r="K61" s="155"/>
      <c r="L61" s="155"/>
      <c r="M61" s="155"/>
      <c r="N61" s="155"/>
      <c r="O61" s="155"/>
      <c r="P61" s="155">
        <v>0</v>
      </c>
      <c r="Q61" s="156">
        <v>0</v>
      </c>
      <c r="R61" s="21">
        <f t="shared" si="5"/>
        <v>0</v>
      </c>
      <c r="S61" s="12">
        <f t="shared" si="10"/>
        <v>0</v>
      </c>
      <c r="U61">
        <f t="shared" si="6"/>
        <v>0</v>
      </c>
      <c r="V61">
        <f t="shared" si="7"/>
        <v>0</v>
      </c>
      <c r="W61">
        <f t="shared" si="8"/>
        <v>0</v>
      </c>
      <c r="X61">
        <f t="shared" si="9"/>
        <v>0</v>
      </c>
    </row>
    <row r="62" spans="1:24" x14ac:dyDescent="0.35">
      <c r="A62" s="165"/>
      <c r="B62" s="168" t="s">
        <v>174</v>
      </c>
      <c r="C62" s="168" t="s">
        <v>169</v>
      </c>
      <c r="D62" s="169" t="s">
        <v>172</v>
      </c>
      <c r="E62" s="21">
        <f>VLOOKUP(C62,Lists!$Q$5:$U$25, MATCH(D62,Lists!$Q$4:$U$4,0),0)</f>
        <v>2700</v>
      </c>
      <c r="F62" s="155"/>
      <c r="G62" s="155"/>
      <c r="H62" s="155"/>
      <c r="I62" s="155"/>
      <c r="J62" s="155"/>
      <c r="K62" s="155"/>
      <c r="L62" s="155"/>
      <c r="M62" s="155"/>
      <c r="N62" s="155"/>
      <c r="O62" s="155"/>
      <c r="P62" s="155">
        <v>0</v>
      </c>
      <c r="Q62" s="156">
        <v>0</v>
      </c>
      <c r="R62" s="21">
        <f t="shared" si="5"/>
        <v>0</v>
      </c>
      <c r="S62" s="12">
        <f t="shared" si="10"/>
        <v>0</v>
      </c>
      <c r="U62">
        <f t="shared" si="6"/>
        <v>0</v>
      </c>
      <c r="V62">
        <f t="shared" si="7"/>
        <v>0</v>
      </c>
      <c r="W62">
        <f t="shared" si="8"/>
        <v>0</v>
      </c>
      <c r="X62">
        <f t="shared" si="9"/>
        <v>0</v>
      </c>
    </row>
    <row r="63" spans="1:24" x14ac:dyDescent="0.35">
      <c r="A63" s="165"/>
      <c r="B63" s="168" t="s">
        <v>196</v>
      </c>
      <c r="C63" s="168" t="s">
        <v>197</v>
      </c>
      <c r="D63" s="169" t="s">
        <v>172</v>
      </c>
      <c r="E63" s="21">
        <f>VLOOKUP(C63,Lists!$Q$5:$U$25, MATCH(D63,Lists!$Q$4:$U$4,0),0)</f>
        <v>1986</v>
      </c>
      <c r="F63" s="155"/>
      <c r="G63" s="155"/>
      <c r="H63" s="155"/>
      <c r="I63" s="155"/>
      <c r="J63" s="155"/>
      <c r="K63" s="155"/>
      <c r="L63" s="155"/>
      <c r="M63" s="155"/>
      <c r="N63" s="155"/>
      <c r="O63" s="155"/>
      <c r="P63" s="155">
        <v>0</v>
      </c>
      <c r="Q63" s="156">
        <v>0</v>
      </c>
      <c r="R63" s="21">
        <f t="shared" si="5"/>
        <v>0</v>
      </c>
      <c r="S63" s="12">
        <f t="shared" si="10"/>
        <v>0</v>
      </c>
      <c r="U63">
        <f t="shared" si="6"/>
        <v>0</v>
      </c>
      <c r="V63">
        <f t="shared" si="7"/>
        <v>0</v>
      </c>
      <c r="W63">
        <f t="shared" si="8"/>
        <v>0</v>
      </c>
      <c r="X63">
        <f t="shared" si="9"/>
        <v>0</v>
      </c>
    </row>
    <row r="64" spans="1:24" x14ac:dyDescent="0.35">
      <c r="A64" s="180" t="s">
        <v>331</v>
      </c>
      <c r="B64" s="168" t="s">
        <v>182</v>
      </c>
      <c r="C64" s="168" t="s">
        <v>255</v>
      </c>
      <c r="D64" s="178" t="s">
        <v>332</v>
      </c>
      <c r="E64" s="179">
        <v>1000</v>
      </c>
      <c r="F64" s="155"/>
      <c r="G64" s="155"/>
      <c r="H64" s="155"/>
      <c r="I64" s="155"/>
      <c r="J64" s="155"/>
      <c r="K64" s="155"/>
      <c r="L64" s="155"/>
      <c r="M64" s="155"/>
      <c r="N64" s="155"/>
      <c r="O64" s="155"/>
      <c r="P64" s="155">
        <v>0</v>
      </c>
      <c r="Q64" s="156">
        <v>0</v>
      </c>
      <c r="R64" s="21">
        <f t="shared" si="5"/>
        <v>0</v>
      </c>
      <c r="S64" s="12">
        <f t="shared" si="10"/>
        <v>0</v>
      </c>
      <c r="U64">
        <f t="shared" si="6"/>
        <v>0</v>
      </c>
      <c r="V64">
        <f t="shared" si="7"/>
        <v>0</v>
      </c>
      <c r="W64">
        <f t="shared" si="8"/>
        <v>0</v>
      </c>
      <c r="X64">
        <f t="shared" si="9"/>
        <v>0</v>
      </c>
    </row>
    <row r="65" spans="1:24" x14ac:dyDescent="0.35">
      <c r="A65" s="180" t="s">
        <v>331</v>
      </c>
      <c r="B65" s="168" t="s">
        <v>196</v>
      </c>
      <c r="C65" s="168" t="s">
        <v>197</v>
      </c>
      <c r="D65" s="178" t="s">
        <v>332</v>
      </c>
      <c r="E65" s="179">
        <v>1000</v>
      </c>
      <c r="F65" s="155"/>
      <c r="G65" s="155"/>
      <c r="H65" s="155"/>
      <c r="I65" s="155"/>
      <c r="J65" s="155"/>
      <c r="K65" s="155"/>
      <c r="L65" s="155"/>
      <c r="M65" s="155"/>
      <c r="N65" s="155"/>
      <c r="O65" s="155"/>
      <c r="P65" s="155">
        <v>0</v>
      </c>
      <c r="Q65" s="156">
        <v>0</v>
      </c>
      <c r="R65" s="21">
        <f t="shared" si="5"/>
        <v>0</v>
      </c>
      <c r="S65" s="12">
        <f t="shared" si="10"/>
        <v>0</v>
      </c>
      <c r="U65">
        <f t="shared" si="6"/>
        <v>0</v>
      </c>
      <c r="V65">
        <f t="shared" si="7"/>
        <v>0</v>
      </c>
      <c r="W65">
        <f t="shared" si="8"/>
        <v>0</v>
      </c>
      <c r="X65">
        <f t="shared" si="9"/>
        <v>0</v>
      </c>
    </row>
    <row r="66" spans="1:24" x14ac:dyDescent="0.35">
      <c r="A66" s="180" t="s">
        <v>331</v>
      </c>
      <c r="B66" s="168" t="s">
        <v>196</v>
      </c>
      <c r="C66" s="168" t="s">
        <v>333</v>
      </c>
      <c r="D66" s="178" t="s">
        <v>332</v>
      </c>
      <c r="E66" s="179">
        <v>1000</v>
      </c>
      <c r="F66" s="155"/>
      <c r="G66" s="155"/>
      <c r="H66" s="155"/>
      <c r="I66" s="155"/>
      <c r="J66" s="155"/>
      <c r="K66" s="155"/>
      <c r="L66" s="155"/>
      <c r="M66" s="155"/>
      <c r="N66" s="155"/>
      <c r="O66" s="155"/>
      <c r="P66" s="155">
        <v>0</v>
      </c>
      <c r="Q66" s="156">
        <v>0</v>
      </c>
      <c r="R66" s="21">
        <f>SUM(F66:Q66)</f>
        <v>0</v>
      </c>
      <c r="S66" s="12">
        <f t="shared" si="10"/>
        <v>0</v>
      </c>
      <c r="U66">
        <f t="shared" si="6"/>
        <v>0</v>
      </c>
      <c r="V66">
        <f t="shared" si="7"/>
        <v>0</v>
      </c>
      <c r="W66">
        <f t="shared" si="8"/>
        <v>0</v>
      </c>
      <c r="X66">
        <f t="shared" si="9"/>
        <v>0</v>
      </c>
    </row>
    <row r="67" spans="1:24" x14ac:dyDescent="0.35">
      <c r="A67" s="180" t="s">
        <v>331</v>
      </c>
      <c r="B67" s="168" t="s">
        <v>196</v>
      </c>
      <c r="C67" s="168" t="s">
        <v>197</v>
      </c>
      <c r="D67" s="178" t="s">
        <v>332</v>
      </c>
      <c r="E67" s="179">
        <v>1000</v>
      </c>
      <c r="F67" s="155"/>
      <c r="G67" s="155"/>
      <c r="H67" s="155"/>
      <c r="I67" s="155"/>
      <c r="J67" s="155"/>
      <c r="K67" s="155"/>
      <c r="L67" s="155"/>
      <c r="M67" s="155"/>
      <c r="N67" s="155"/>
      <c r="O67" s="155"/>
      <c r="P67" s="155">
        <v>0</v>
      </c>
      <c r="Q67" s="156">
        <v>0</v>
      </c>
      <c r="R67" s="21">
        <f t="shared" si="5"/>
        <v>0</v>
      </c>
      <c r="S67" s="12">
        <f t="shared" si="10"/>
        <v>0</v>
      </c>
      <c r="U67">
        <f t="shared" si="6"/>
        <v>0</v>
      </c>
      <c r="V67">
        <f t="shared" si="7"/>
        <v>0</v>
      </c>
      <c r="W67">
        <f t="shared" si="8"/>
        <v>0</v>
      </c>
      <c r="X67">
        <f t="shared" si="9"/>
        <v>0</v>
      </c>
    </row>
    <row r="68" spans="1:24" ht="14.75" customHeight="1" x14ac:dyDescent="0.35">
      <c r="A68" s="22"/>
      <c r="B68" s="23"/>
      <c r="C68" s="23"/>
      <c r="D68" s="23"/>
      <c r="E68" s="177" t="s">
        <v>208</v>
      </c>
      <c r="F68" s="24">
        <f t="shared" ref="F68:R68" si="11">SUM(F44:F67)</f>
        <v>17</v>
      </c>
      <c r="G68" s="24">
        <f t="shared" si="11"/>
        <v>27</v>
      </c>
      <c r="H68" s="24">
        <f t="shared" si="11"/>
        <v>3</v>
      </c>
      <c r="I68" s="24">
        <f t="shared" si="11"/>
        <v>1</v>
      </c>
      <c r="J68" s="24">
        <f t="shared" si="11"/>
        <v>1</v>
      </c>
      <c r="K68" s="24">
        <f t="shared" si="11"/>
        <v>0</v>
      </c>
      <c r="L68" s="24">
        <f t="shared" si="11"/>
        <v>0</v>
      </c>
      <c r="M68" s="24">
        <f t="shared" si="11"/>
        <v>10</v>
      </c>
      <c r="N68" s="24">
        <f t="shared" si="11"/>
        <v>0</v>
      </c>
      <c r="O68" s="24">
        <f t="shared" si="11"/>
        <v>0</v>
      </c>
      <c r="P68" s="24">
        <f t="shared" si="11"/>
        <v>0</v>
      </c>
      <c r="Q68" s="24">
        <f t="shared" si="11"/>
        <v>0</v>
      </c>
      <c r="R68" s="24">
        <f t="shared" si="11"/>
        <v>59</v>
      </c>
      <c r="S68" s="12" t="e">
        <f t="shared" si="10"/>
        <v>#VALUE!</v>
      </c>
    </row>
    <row r="69" spans="1:24" ht="14.75" customHeight="1" x14ac:dyDescent="0.35">
      <c r="A69" s="22"/>
      <c r="B69" s="23"/>
      <c r="C69" s="23"/>
      <c r="D69" s="23"/>
      <c r="E69" s="177" t="s">
        <v>209</v>
      </c>
      <c r="F69" s="175">
        <f t="shared" ref="F69:Q69" si="12">SUM((F44*$E$44)+(F45*$E$45)+(F46*$E$46)+(F47*$E$47)+(F48*$E$48)+(F49*$E$49)+(F50*$E$50)+(F51*$E$51)+(F52*$E$52)+(F53*$E$53)+(F54*$E$54)+(F55*$E$55)+(F56*$E$56)+(F57*$E$57)+(F58*$E$58)+(F59*$E$59)+(F60*$E$60)+(F61*$E$61)+(F62*$E$62)+(F63*$E$63)+(F64*$E$64)+(F65*$E$65)+(F66*$E$66)+(F67*$E$67))</f>
        <v>32722</v>
      </c>
      <c r="G69" s="175">
        <f t="shared" si="12"/>
        <v>41222</v>
      </c>
      <c r="H69" s="175">
        <f t="shared" si="12"/>
        <v>5022</v>
      </c>
      <c r="I69" s="175">
        <f t="shared" si="12"/>
        <v>2422</v>
      </c>
      <c r="J69" s="175">
        <f t="shared" si="12"/>
        <v>2200</v>
      </c>
      <c r="K69" s="175">
        <f t="shared" si="12"/>
        <v>0</v>
      </c>
      <c r="L69" s="175">
        <f t="shared" si="12"/>
        <v>0</v>
      </c>
      <c r="M69" s="175">
        <f t="shared" si="12"/>
        <v>24220</v>
      </c>
      <c r="N69" s="175">
        <f t="shared" si="12"/>
        <v>0</v>
      </c>
      <c r="O69" s="175">
        <f t="shared" si="12"/>
        <v>0</v>
      </c>
      <c r="P69" s="175">
        <f t="shared" si="12"/>
        <v>0</v>
      </c>
      <c r="Q69" s="175">
        <f t="shared" si="12"/>
        <v>0</v>
      </c>
      <c r="R69" s="175"/>
      <c r="S69" s="118"/>
    </row>
    <row r="70" spans="1:24" ht="15.5" x14ac:dyDescent="0.35">
      <c r="A70" s="1"/>
      <c r="B70" s="5"/>
      <c r="C70" s="5"/>
      <c r="D70" s="5"/>
      <c r="E70" s="5"/>
      <c r="F70" s="493" t="s">
        <v>210</v>
      </c>
      <c r="G70" s="493"/>
      <c r="H70" s="493"/>
      <c r="I70" s="493"/>
      <c r="J70" s="493"/>
      <c r="K70" s="493"/>
      <c r="L70" s="493"/>
      <c r="M70" s="493"/>
      <c r="N70" s="493"/>
      <c r="O70" s="493"/>
      <c r="P70" s="493"/>
      <c r="Q70" s="493"/>
      <c r="R70" s="493"/>
      <c r="S70" s="118">
        <f>SUM(S44:S67)</f>
        <v>142898</v>
      </c>
      <c r="U70">
        <f>SUM(U44:U67)</f>
        <v>0</v>
      </c>
      <c r="V70">
        <f>SUM(V44:V67)</f>
        <v>0</v>
      </c>
      <c r="W70">
        <f>SUM(W44:W67)</f>
        <v>0</v>
      </c>
      <c r="X70">
        <f>SUM(X44:X67)</f>
        <v>0</v>
      </c>
    </row>
  </sheetData>
  <mergeCells count="18">
    <mergeCell ref="F70:R70"/>
    <mergeCell ref="S34:S36"/>
    <mergeCell ref="E8:E9"/>
    <mergeCell ref="D8:D9"/>
    <mergeCell ref="A38:E38"/>
    <mergeCell ref="C8:C9"/>
    <mergeCell ref="B8:B9"/>
    <mergeCell ref="F36:R36"/>
    <mergeCell ref="A42:A43"/>
    <mergeCell ref="B42:B43"/>
    <mergeCell ref="C42:C43"/>
    <mergeCell ref="D42:D43"/>
    <mergeCell ref="E42:E43"/>
    <mergeCell ref="A4:F5"/>
    <mergeCell ref="A6:F6"/>
    <mergeCell ref="A39:E39"/>
    <mergeCell ref="A40:E40"/>
    <mergeCell ref="A8:A9"/>
  </mergeCells>
  <phoneticPr fontId="6" type="noConversion"/>
  <pageMargins left="0.7" right="0.7" top="0.75" bottom="0.75" header="0.3" footer="0.3"/>
  <pageSetup paperSize="9" orientation="portrait" r:id="rId1"/>
  <headerFooter>
    <oddFooter>&amp;C_x000D_&amp;1#&amp;"Calibri"&amp;10&amp;K000000 Restricted : General Al-Futtaim Group</oddFooter>
  </headerFooter>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9058B336-EF4E-4ADD-84B6-9F7B56698204}">
          <x14:formula1>
            <xm:f>Lists!$A$69:$A$72</xm:f>
          </x14:formula1>
          <xm:sqref>D10:D29 D44:D63</xm:sqref>
        </x14:dataValidation>
        <x14:dataValidation type="list" allowBlank="1" showInputMessage="1" showErrorMessage="1" xr:uid="{062CEB7D-045C-4672-92A1-7EA7650DE1BE}">
          <x14:formula1>
            <xm:f>OFFSET(Lists!$C$14, 1, MATCH($B10, Lists!$C$14:$L$14, 0)-1, COUNTA(OFFSET(Lists!$C$14, 1, MATCH($B10, Lists!$C$14:$L$14, 0)-1, 50)),1)</xm:f>
          </x14:formula1>
          <xm:sqref>C10:C33 C44:C67</xm:sqref>
        </x14:dataValidation>
        <x14:dataValidation type="list" allowBlank="1" showInputMessage="1" showErrorMessage="1" xr:uid="{6015E664-8D0E-4114-BCAF-DCEE69132028}">
          <x14:formula1>
            <xm:f>Lists!$C$14:$L$14</xm:f>
          </x14:formula1>
          <xm:sqref>B10:B33 B44:B67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989CB-0D5E-4CBA-A2EF-59067A4A73B9}">
  <dimension ref="A2:F53"/>
  <sheetViews>
    <sheetView zoomScaleNormal="100" workbookViewId="0">
      <selection activeCell="E9" sqref="E9:E15"/>
    </sheetView>
  </sheetViews>
  <sheetFormatPr defaultRowHeight="14.5" x14ac:dyDescent="0.35"/>
  <cols>
    <col min="1" max="1" width="31.6328125" bestFit="1" customWidth="1"/>
    <col min="2" max="2" width="49.453125" customWidth="1"/>
    <col min="3" max="4" width="12.36328125" customWidth="1"/>
    <col min="5" max="5" width="13.36328125" customWidth="1"/>
    <col min="6" max="6" width="13.36328125" bestFit="1" customWidth="1"/>
  </cols>
  <sheetData>
    <row r="2" spans="1:5" ht="25.5" customHeight="1" x14ac:dyDescent="0.35">
      <c r="A2" s="492" t="s">
        <v>371</v>
      </c>
      <c r="B2" s="492"/>
      <c r="C2" s="492"/>
      <c r="D2" s="492"/>
      <c r="E2" s="492"/>
    </row>
    <row r="3" spans="1:5" ht="27" customHeight="1" x14ac:dyDescent="0.35">
      <c r="A3" s="430" t="s">
        <v>212</v>
      </c>
      <c r="B3" s="430" t="s">
        <v>213</v>
      </c>
      <c r="C3" s="432" t="s">
        <v>214</v>
      </c>
      <c r="D3" s="419" t="s">
        <v>117</v>
      </c>
      <c r="E3" s="420"/>
    </row>
    <row r="4" spans="1:5" x14ac:dyDescent="0.35">
      <c r="A4" s="431"/>
      <c r="B4" s="431"/>
      <c r="C4" s="433"/>
      <c r="D4" s="37" t="s">
        <v>215</v>
      </c>
      <c r="E4" s="37" t="s">
        <v>216</v>
      </c>
    </row>
    <row r="5" spans="1:5" ht="15.5" x14ac:dyDescent="0.35">
      <c r="A5" s="72" t="s">
        <v>91</v>
      </c>
      <c r="B5" s="92"/>
      <c r="C5" s="92">
        <v>20000</v>
      </c>
      <c r="D5" s="38">
        <v>1</v>
      </c>
      <c r="E5" s="21">
        <f>IF(C5&lt;&gt;"",C5*D5,"-")</f>
        <v>20000</v>
      </c>
    </row>
    <row r="6" spans="1:5" ht="15.5" x14ac:dyDescent="0.35">
      <c r="A6" s="72" t="s">
        <v>92</v>
      </c>
      <c r="B6" s="38"/>
      <c r="C6" s="38">
        <v>4000</v>
      </c>
      <c r="D6" s="38">
        <v>1</v>
      </c>
      <c r="E6" s="21">
        <f>IF(C6&lt;&gt;"",C6*D6,"-")</f>
        <v>4000</v>
      </c>
    </row>
    <row r="7" spans="1:5" ht="15.5" x14ac:dyDescent="0.35">
      <c r="A7" s="72" t="s">
        <v>93</v>
      </c>
      <c r="B7" s="38"/>
      <c r="C7" s="38">
        <v>6000</v>
      </c>
      <c r="D7" s="38">
        <v>1</v>
      </c>
      <c r="E7" s="21">
        <f>IF(C7&lt;&gt;"",C7*D7,"-")</f>
        <v>6000</v>
      </c>
    </row>
    <row r="8" spans="1:5" ht="15.5" x14ac:dyDescent="0.35">
      <c r="A8" s="72" t="s">
        <v>94</v>
      </c>
      <c r="B8" s="38"/>
      <c r="C8" s="38">
        <v>600</v>
      </c>
      <c r="D8" s="38">
        <v>1</v>
      </c>
      <c r="E8" s="21">
        <f>IF(C8&lt;&gt;"",C8*D8,"-")</f>
        <v>600</v>
      </c>
    </row>
    <row r="9" spans="1:5" ht="15.5" x14ac:dyDescent="0.35">
      <c r="A9" s="204" t="s">
        <v>372</v>
      </c>
      <c r="B9" s="205"/>
      <c r="C9" s="205"/>
      <c r="D9" s="206"/>
      <c r="E9" s="207"/>
    </row>
    <row r="10" spans="1:5" ht="15.5" x14ac:dyDescent="0.35">
      <c r="A10" s="204" t="s">
        <v>373</v>
      </c>
      <c r="B10" s="205"/>
      <c r="C10" s="205"/>
      <c r="D10" s="206"/>
      <c r="E10" s="207"/>
    </row>
    <row r="11" spans="1:5" ht="15.5" x14ac:dyDescent="0.35">
      <c r="A11" s="204"/>
      <c r="B11" s="205"/>
      <c r="C11" s="205"/>
      <c r="D11" s="206"/>
      <c r="E11" s="207"/>
    </row>
    <row r="12" spans="1:5" ht="15.5" x14ac:dyDescent="0.35">
      <c r="A12" s="204"/>
      <c r="B12" s="205"/>
      <c r="C12" s="205"/>
      <c r="D12" s="206"/>
      <c r="E12" s="207"/>
    </row>
    <row r="13" spans="1:5" ht="15.5" x14ac:dyDescent="0.35">
      <c r="A13" s="204"/>
      <c r="B13" s="205"/>
      <c r="C13" s="205"/>
      <c r="D13" s="206"/>
      <c r="E13" s="207"/>
    </row>
    <row r="14" spans="1:5" ht="15.5" x14ac:dyDescent="0.35">
      <c r="A14" s="204"/>
      <c r="B14" s="205"/>
      <c r="C14" s="205"/>
      <c r="D14" s="206"/>
      <c r="E14" s="207"/>
    </row>
    <row r="15" spans="1:5" ht="15.5" x14ac:dyDescent="0.35">
      <c r="A15" s="204"/>
      <c r="B15" s="205"/>
      <c r="C15" s="205"/>
      <c r="D15" s="206"/>
      <c r="E15" s="207"/>
    </row>
    <row r="16" spans="1:5" ht="15" thickBot="1" x14ac:dyDescent="0.4">
      <c r="A16" s="510" t="s">
        <v>218</v>
      </c>
      <c r="B16" s="511"/>
      <c r="C16" s="512"/>
      <c r="D16" s="39"/>
      <c r="E16" s="100">
        <f>SUM(E5:E15)</f>
        <v>30600</v>
      </c>
    </row>
    <row r="17" spans="1:6" ht="15" thickTop="1" x14ac:dyDescent="0.35"/>
    <row r="18" spans="1:6" ht="25.5" customHeight="1" x14ac:dyDescent="0.35">
      <c r="A18" s="492" t="s">
        <v>374</v>
      </c>
      <c r="B18" s="492"/>
      <c r="C18" s="492"/>
      <c r="D18" s="492"/>
      <c r="E18" s="492"/>
    </row>
    <row r="19" spans="1:6" ht="27" customHeight="1" x14ac:dyDescent="0.35">
      <c r="A19" s="430" t="s">
        <v>219</v>
      </c>
      <c r="B19" s="430" t="s">
        <v>220</v>
      </c>
      <c r="C19" s="432" t="s">
        <v>214</v>
      </c>
      <c r="D19" s="419" t="s">
        <v>117</v>
      </c>
      <c r="E19" s="420"/>
    </row>
    <row r="20" spans="1:6" ht="29" x14ac:dyDescent="0.35">
      <c r="A20" s="431"/>
      <c r="B20" s="431"/>
      <c r="C20" s="433"/>
      <c r="D20" s="37" t="s">
        <v>221</v>
      </c>
      <c r="E20" s="37" t="s">
        <v>216</v>
      </c>
    </row>
    <row r="21" spans="1:6" x14ac:dyDescent="0.35">
      <c r="A21" s="92" t="s">
        <v>222</v>
      </c>
      <c r="B21" s="92" t="s">
        <v>223</v>
      </c>
      <c r="C21" s="92">
        <v>11000</v>
      </c>
      <c r="D21" s="38">
        <v>1</v>
      </c>
      <c r="E21" s="21">
        <f>IF(C21&lt;&gt;"",C21*D21,"-")</f>
        <v>11000</v>
      </c>
    </row>
    <row r="22" spans="1:6" x14ac:dyDescent="0.35">
      <c r="A22" s="38" t="s">
        <v>224</v>
      </c>
      <c r="B22" s="38" t="s">
        <v>225</v>
      </c>
      <c r="C22" s="38">
        <v>4000</v>
      </c>
      <c r="D22" s="38">
        <v>1</v>
      </c>
      <c r="E22" s="21">
        <f t="shared" ref="E22:E27" si="0">IF(C22&lt;&gt;"",C22*D22,"-")</f>
        <v>4000</v>
      </c>
    </row>
    <row r="23" spans="1:6" x14ac:dyDescent="0.35">
      <c r="A23" s="38" t="s">
        <v>224</v>
      </c>
      <c r="B23" s="38" t="s">
        <v>227</v>
      </c>
      <c r="C23" s="38">
        <v>6000</v>
      </c>
      <c r="D23" s="38">
        <v>1</v>
      </c>
      <c r="E23" s="21">
        <f t="shared" si="0"/>
        <v>6000</v>
      </c>
    </row>
    <row r="24" spans="1:6" x14ac:dyDescent="0.35">
      <c r="A24" s="38" t="s">
        <v>222</v>
      </c>
      <c r="B24" s="38" t="s">
        <v>227</v>
      </c>
      <c r="C24" s="38">
        <v>600</v>
      </c>
      <c r="D24" s="38">
        <v>1</v>
      </c>
      <c r="E24" s="21">
        <f t="shared" si="0"/>
        <v>600</v>
      </c>
    </row>
    <row r="25" spans="1:6" x14ac:dyDescent="0.35">
      <c r="A25" s="38" t="s">
        <v>222</v>
      </c>
      <c r="B25" s="38" t="s">
        <v>223</v>
      </c>
      <c r="C25" s="38">
        <v>420</v>
      </c>
      <c r="D25" s="38">
        <v>1</v>
      </c>
      <c r="E25" s="21">
        <f t="shared" si="0"/>
        <v>420</v>
      </c>
    </row>
    <row r="26" spans="1:6" x14ac:dyDescent="0.35">
      <c r="A26" s="38"/>
      <c r="B26" s="38"/>
      <c r="C26" s="38"/>
      <c r="D26" s="38"/>
      <c r="E26" s="21" t="str">
        <f t="shared" si="0"/>
        <v>-</v>
      </c>
    </row>
    <row r="27" spans="1:6" x14ac:dyDescent="0.35">
      <c r="A27" s="38"/>
      <c r="B27" s="38"/>
      <c r="C27" s="38"/>
      <c r="D27" s="38"/>
      <c r="E27" s="21" t="str">
        <f t="shared" si="0"/>
        <v>-</v>
      </c>
    </row>
    <row r="28" spans="1:6" ht="15" thickBot="1" x14ac:dyDescent="0.4">
      <c r="A28" s="510" t="s">
        <v>228</v>
      </c>
      <c r="B28" s="511"/>
      <c r="C28" s="512"/>
      <c r="D28" s="39"/>
      <c r="E28" s="100">
        <f>SUM(E21:E27)</f>
        <v>22020</v>
      </c>
    </row>
    <row r="29" spans="1:6" ht="15" thickTop="1" x14ac:dyDescent="0.35"/>
    <row r="30" spans="1:6" ht="25.5" customHeight="1" x14ac:dyDescent="0.35">
      <c r="A30" s="492" t="s">
        <v>375</v>
      </c>
      <c r="B30" s="492"/>
      <c r="C30" s="492"/>
      <c r="D30" s="492"/>
      <c r="E30" s="492"/>
      <c r="F30" s="134"/>
    </row>
    <row r="31" spans="1:6" ht="27" customHeight="1" x14ac:dyDescent="0.35">
      <c r="A31" s="430" t="s">
        <v>212</v>
      </c>
      <c r="B31" s="430" t="s">
        <v>213</v>
      </c>
      <c r="C31" s="432" t="s">
        <v>229</v>
      </c>
      <c r="D31" s="419" t="s">
        <v>117</v>
      </c>
      <c r="E31" s="434"/>
      <c r="F31" s="420"/>
    </row>
    <row r="32" spans="1:6" x14ac:dyDescent="0.35">
      <c r="A32" s="431"/>
      <c r="B32" s="431"/>
      <c r="C32" s="433"/>
      <c r="D32" s="37" t="s">
        <v>230</v>
      </c>
      <c r="E32" s="93" t="s">
        <v>231</v>
      </c>
      <c r="F32" s="37" t="s">
        <v>216</v>
      </c>
    </row>
    <row r="33" spans="1:6" ht="15.5" x14ac:dyDescent="0.35">
      <c r="A33" s="71" t="s">
        <v>96</v>
      </c>
      <c r="B33" s="71"/>
      <c r="C33" s="71"/>
      <c r="D33" s="71"/>
      <c r="E33" s="71"/>
      <c r="F33" s="71"/>
    </row>
    <row r="34" spans="1:6" ht="15.5" x14ac:dyDescent="0.35">
      <c r="A34" s="72" t="s">
        <v>97</v>
      </c>
      <c r="B34" s="92"/>
      <c r="C34" s="92">
        <v>5000</v>
      </c>
      <c r="D34" s="38">
        <v>1</v>
      </c>
      <c r="E34" s="68">
        <v>10</v>
      </c>
      <c r="F34" s="94">
        <f t="shared" ref="F34:F39" si="1">IF(C34&lt;&gt;"",C34*D34*E34,"-")</f>
        <v>50000</v>
      </c>
    </row>
    <row r="35" spans="1:6" ht="15.5" x14ac:dyDescent="0.35">
      <c r="A35" s="72" t="s">
        <v>98</v>
      </c>
      <c r="B35" s="38"/>
      <c r="C35" s="38">
        <v>5000</v>
      </c>
      <c r="D35" s="38">
        <v>2</v>
      </c>
      <c r="E35" s="68">
        <v>1</v>
      </c>
      <c r="F35" s="94">
        <f t="shared" si="1"/>
        <v>10000</v>
      </c>
    </row>
    <row r="36" spans="1:6" ht="29" x14ac:dyDescent="0.35">
      <c r="A36" s="72" t="s">
        <v>99</v>
      </c>
      <c r="B36" s="95" t="s">
        <v>232</v>
      </c>
      <c r="C36" s="38">
        <v>1200</v>
      </c>
      <c r="D36" s="38">
        <v>1</v>
      </c>
      <c r="E36" s="68">
        <v>10</v>
      </c>
      <c r="F36" s="94">
        <f t="shared" si="1"/>
        <v>12000</v>
      </c>
    </row>
    <row r="37" spans="1:6" ht="15.5" x14ac:dyDescent="0.35">
      <c r="A37" s="72" t="s">
        <v>100</v>
      </c>
      <c r="B37" s="38"/>
      <c r="C37" s="38">
        <v>0</v>
      </c>
      <c r="D37" s="38">
        <v>0</v>
      </c>
      <c r="E37" s="68">
        <v>0</v>
      </c>
      <c r="F37" s="94">
        <f t="shared" si="1"/>
        <v>0</v>
      </c>
    </row>
    <row r="38" spans="1:6" ht="15.5" x14ac:dyDescent="0.35">
      <c r="A38" s="72" t="s">
        <v>101</v>
      </c>
      <c r="B38" s="38"/>
      <c r="C38" s="38">
        <v>0</v>
      </c>
      <c r="D38" s="38">
        <v>0</v>
      </c>
      <c r="E38" s="68">
        <v>0</v>
      </c>
      <c r="F38" s="94">
        <f t="shared" si="1"/>
        <v>0</v>
      </c>
    </row>
    <row r="39" spans="1:6" ht="15.5" x14ac:dyDescent="0.35">
      <c r="A39" s="72" t="s">
        <v>102</v>
      </c>
      <c r="B39" s="38"/>
      <c r="C39" s="38">
        <v>0</v>
      </c>
      <c r="D39" s="38">
        <v>0</v>
      </c>
      <c r="E39" s="68">
        <v>0</v>
      </c>
      <c r="F39" s="94">
        <f t="shared" si="1"/>
        <v>0</v>
      </c>
    </row>
    <row r="40" spans="1:6" ht="15" thickBot="1" x14ac:dyDescent="0.4">
      <c r="A40" s="507" t="s">
        <v>218</v>
      </c>
      <c r="B40" s="508"/>
      <c r="C40" s="508"/>
      <c r="D40" s="508"/>
      <c r="E40" s="509"/>
      <c r="F40" s="99">
        <f>SUM(F34:F39)</f>
        <v>72000</v>
      </c>
    </row>
    <row r="41" spans="1:6" ht="16" thickTop="1" x14ac:dyDescent="0.35">
      <c r="A41" s="71" t="s">
        <v>103</v>
      </c>
      <c r="B41" s="71"/>
      <c r="C41" s="71"/>
      <c r="D41" s="71"/>
      <c r="E41" s="71"/>
      <c r="F41" s="98"/>
    </row>
    <row r="42" spans="1:6" ht="15.5" x14ac:dyDescent="0.35">
      <c r="A42" s="72" t="s">
        <v>104</v>
      </c>
      <c r="B42" s="92"/>
      <c r="C42" s="92">
        <v>2000</v>
      </c>
      <c r="D42" s="38">
        <v>1</v>
      </c>
      <c r="E42" s="68">
        <v>1</v>
      </c>
      <c r="F42" s="94">
        <f t="shared" ref="F42:F47" si="2">IF(C42&lt;&gt;"",C42*D42*E42,"-")</f>
        <v>2000</v>
      </c>
    </row>
    <row r="43" spans="1:6" ht="15.5" x14ac:dyDescent="0.35">
      <c r="A43" s="72" t="s">
        <v>105</v>
      </c>
      <c r="B43" s="95"/>
      <c r="C43" s="38">
        <v>5000</v>
      </c>
      <c r="D43" s="38">
        <v>1</v>
      </c>
      <c r="E43" s="68">
        <v>1</v>
      </c>
      <c r="F43" s="94">
        <f t="shared" si="2"/>
        <v>5000</v>
      </c>
    </row>
    <row r="44" spans="1:6" ht="15.5" x14ac:dyDescent="0.35">
      <c r="A44" s="72" t="s">
        <v>106</v>
      </c>
      <c r="B44" s="38"/>
      <c r="C44" s="38">
        <v>0</v>
      </c>
      <c r="D44" s="38">
        <v>0</v>
      </c>
      <c r="E44" s="68">
        <v>0</v>
      </c>
      <c r="F44" s="94">
        <f t="shared" si="2"/>
        <v>0</v>
      </c>
    </row>
    <row r="45" spans="1:6" ht="15.5" x14ac:dyDescent="0.35">
      <c r="A45" s="72" t="s">
        <v>107</v>
      </c>
      <c r="B45" s="38"/>
      <c r="C45" s="38">
        <v>0</v>
      </c>
      <c r="D45" s="38">
        <v>0</v>
      </c>
      <c r="E45" s="68">
        <v>0</v>
      </c>
      <c r="F45" s="94">
        <f t="shared" si="2"/>
        <v>0</v>
      </c>
    </row>
    <row r="46" spans="1:6" ht="15.5" x14ac:dyDescent="0.35">
      <c r="A46" s="72" t="s">
        <v>108</v>
      </c>
      <c r="B46" s="38"/>
      <c r="C46" s="38">
        <v>0</v>
      </c>
      <c r="D46" s="38">
        <v>0</v>
      </c>
      <c r="E46" s="68">
        <v>0</v>
      </c>
      <c r="F46" s="94">
        <f t="shared" si="2"/>
        <v>0</v>
      </c>
    </row>
    <row r="47" spans="1:6" ht="15.5" x14ac:dyDescent="0.35">
      <c r="A47" s="72" t="s">
        <v>109</v>
      </c>
      <c r="B47" s="38"/>
      <c r="C47" s="38">
        <v>0</v>
      </c>
      <c r="D47" s="38">
        <v>0</v>
      </c>
      <c r="E47" s="68">
        <v>0</v>
      </c>
      <c r="F47" s="94">
        <f t="shared" si="2"/>
        <v>0</v>
      </c>
    </row>
    <row r="48" spans="1:6" ht="15" thickBot="1" x14ac:dyDescent="0.4">
      <c r="A48" s="507" t="s">
        <v>218</v>
      </c>
      <c r="B48" s="508"/>
      <c r="C48" s="508"/>
      <c r="D48" s="508"/>
      <c r="E48" s="509"/>
      <c r="F48" s="99">
        <f>SUM(F42:F47)</f>
        <v>7000</v>
      </c>
    </row>
    <row r="49" ht="15" thickTop="1" x14ac:dyDescent="0.35"/>
    <row r="53" ht="31.25" customHeight="1" x14ac:dyDescent="0.35"/>
  </sheetData>
  <mergeCells count="19">
    <mergeCell ref="A2:E2"/>
    <mergeCell ref="D3:E3"/>
    <mergeCell ref="A28:C28"/>
    <mergeCell ref="D19:E19"/>
    <mergeCell ref="A18:E18"/>
    <mergeCell ref="A3:A4"/>
    <mergeCell ref="B3:B4"/>
    <mergeCell ref="C3:C4"/>
    <mergeCell ref="A19:A20"/>
    <mergeCell ref="B19:B20"/>
    <mergeCell ref="C19:C20"/>
    <mergeCell ref="A40:E40"/>
    <mergeCell ref="A48:E48"/>
    <mergeCell ref="A30:E30"/>
    <mergeCell ref="A16:C16"/>
    <mergeCell ref="D31:F31"/>
    <mergeCell ref="A31:A32"/>
    <mergeCell ref="B31:B32"/>
    <mergeCell ref="C31:C32"/>
  </mergeCells>
  <pageMargins left="0.7" right="0.7" top="0.75" bottom="0.75" header="0.3" footer="0.3"/>
  <pageSetup orientation="portrait" r:id="rId1"/>
  <headerFooter>
    <oddFooter>&amp;C_x000D_&amp;1#&amp;"Calibri"&amp;10&amp;K000000 Restricted : General Al-Futtaim Group</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1C9D7BA-DBEA-437C-9B91-9E2EA6583C42}">
          <x14:formula1>
            <xm:f>Lists!$A$79:$A$82</xm:f>
          </x14:formula1>
          <xm:sqref>B21:B27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A60EC-D9A8-40BE-82DB-1E97224FE7FD}">
  <dimension ref="A1:S133"/>
  <sheetViews>
    <sheetView zoomScale="90" zoomScaleNormal="90" workbookViewId="0">
      <pane ySplit="3" topLeftCell="A68" activePane="bottomLeft" state="frozen"/>
      <selection activeCell="AD27" sqref="AD27"/>
      <selection pane="bottomLeft" activeCell="F117" sqref="F117:G117"/>
    </sheetView>
  </sheetViews>
  <sheetFormatPr defaultRowHeight="14.5" x14ac:dyDescent="0.35"/>
  <cols>
    <col min="1" max="1" width="30.453125" bestFit="1" customWidth="1"/>
    <col min="2" max="2" width="28.453125" bestFit="1" customWidth="1"/>
    <col min="3" max="3" width="19.36328125" customWidth="1"/>
    <col min="4" max="4" width="18.36328125" bestFit="1" customWidth="1"/>
    <col min="5" max="5" width="13.36328125" bestFit="1" customWidth="1"/>
    <col min="6" max="6" width="12" bestFit="1" customWidth="1"/>
    <col min="7" max="7" width="14.54296875" customWidth="1"/>
    <col min="8" max="9" width="12" bestFit="1" customWidth="1"/>
    <col min="10" max="10" width="12" customWidth="1"/>
    <col min="11" max="11" width="14.54296875" bestFit="1" customWidth="1"/>
    <col min="12" max="12" width="10.453125" bestFit="1" customWidth="1"/>
    <col min="13" max="13" width="15.6328125" bestFit="1" customWidth="1"/>
    <col min="14" max="14" width="10.453125" bestFit="1" customWidth="1"/>
    <col min="15" max="15" width="11.36328125" bestFit="1" customWidth="1"/>
    <col min="16" max="16" width="10.453125" bestFit="1" customWidth="1"/>
    <col min="17" max="17" width="11.36328125" bestFit="1" customWidth="1"/>
    <col min="18" max="18" width="12" bestFit="1" customWidth="1"/>
    <col min="19" max="19" width="15.6328125" bestFit="1" customWidth="1"/>
  </cols>
  <sheetData>
    <row r="1" spans="1:19" ht="36.65" customHeight="1" x14ac:dyDescent="0.35">
      <c r="A1" s="528" t="s">
        <v>376</v>
      </c>
      <c r="B1" s="528"/>
      <c r="C1" s="528"/>
      <c r="D1" s="528"/>
      <c r="E1" s="528"/>
      <c r="F1" s="528"/>
      <c r="G1" s="528"/>
      <c r="H1" s="528"/>
      <c r="I1" s="528"/>
      <c r="J1" s="528"/>
      <c r="K1" s="528"/>
      <c r="L1" s="528"/>
      <c r="M1" s="529"/>
      <c r="N1" s="529"/>
      <c r="O1" s="529"/>
      <c r="P1" s="529"/>
      <c r="Q1" s="101"/>
      <c r="R1" s="101"/>
      <c r="S1" s="101"/>
    </row>
    <row r="2" spans="1:19" ht="29.75" customHeight="1" x14ac:dyDescent="0.35">
      <c r="A2" s="425" t="s">
        <v>237</v>
      </c>
      <c r="B2" s="425" t="s">
        <v>238</v>
      </c>
      <c r="C2" s="425" t="s">
        <v>239</v>
      </c>
      <c r="D2" s="425" t="s">
        <v>240</v>
      </c>
      <c r="E2" s="425" t="s">
        <v>158</v>
      </c>
      <c r="F2" s="419" t="s">
        <v>117</v>
      </c>
      <c r="G2" s="420"/>
      <c r="H2" s="419" t="s">
        <v>118</v>
      </c>
      <c r="I2" s="420"/>
      <c r="J2" s="419" t="s">
        <v>119</v>
      </c>
      <c r="K2" s="420"/>
      <c r="L2" s="419" t="s">
        <v>120</v>
      </c>
      <c r="M2" s="420"/>
      <c r="N2" s="419" t="s">
        <v>121</v>
      </c>
      <c r="O2" s="420"/>
      <c r="P2" s="419" t="s">
        <v>122</v>
      </c>
      <c r="Q2" s="420"/>
      <c r="R2" s="546" t="s">
        <v>241</v>
      </c>
      <c r="S2" s="547"/>
    </row>
    <row r="3" spans="1:19" x14ac:dyDescent="0.35">
      <c r="A3" s="426"/>
      <c r="B3" s="426"/>
      <c r="C3" s="426"/>
      <c r="D3" s="426"/>
      <c r="E3" s="426"/>
      <c r="F3" s="66" t="s">
        <v>168</v>
      </c>
      <c r="G3" s="66" t="s">
        <v>242</v>
      </c>
      <c r="H3" s="66" t="s">
        <v>168</v>
      </c>
      <c r="I3" s="66" t="s">
        <v>242</v>
      </c>
      <c r="J3" s="66" t="s">
        <v>168</v>
      </c>
      <c r="K3" s="66" t="s">
        <v>242</v>
      </c>
      <c r="L3" s="66" t="s">
        <v>168</v>
      </c>
      <c r="M3" s="66" t="s">
        <v>242</v>
      </c>
      <c r="N3" s="66" t="s">
        <v>168</v>
      </c>
      <c r="O3" s="66" t="s">
        <v>242</v>
      </c>
      <c r="P3" s="65" t="s">
        <v>168</v>
      </c>
      <c r="Q3" s="65" t="s">
        <v>242</v>
      </c>
      <c r="R3" s="548"/>
      <c r="S3" s="549"/>
    </row>
    <row r="4" spans="1:19" ht="18.5" x14ac:dyDescent="0.45">
      <c r="A4" s="530" t="s">
        <v>377</v>
      </c>
      <c r="B4" s="531"/>
      <c r="C4" s="531"/>
      <c r="D4" s="531"/>
      <c r="E4" s="531"/>
      <c r="F4" s="531"/>
      <c r="G4" s="531"/>
      <c r="H4" s="531"/>
      <c r="I4" s="531"/>
      <c r="J4" s="531"/>
      <c r="K4" s="531"/>
      <c r="L4" s="531"/>
      <c r="M4" s="531"/>
      <c r="N4" s="531"/>
      <c r="O4" s="531"/>
      <c r="P4" s="531"/>
      <c r="Q4" s="531"/>
      <c r="R4" s="531"/>
      <c r="S4" s="532"/>
    </row>
    <row r="5" spans="1:19" x14ac:dyDescent="0.35">
      <c r="A5" s="165" t="s">
        <v>244</v>
      </c>
      <c r="B5" s="168" t="s">
        <v>196</v>
      </c>
      <c r="C5" s="168" t="s">
        <v>197</v>
      </c>
      <c r="D5" s="169" t="s">
        <v>180</v>
      </c>
      <c r="E5" s="36">
        <f>VLOOKUP(C5,Lists!$Q$5:$U$25, MATCH(D5,Lists!$Q$4:$U$4,0),0)</f>
        <v>615</v>
      </c>
      <c r="F5" s="170">
        <v>0</v>
      </c>
      <c r="G5" s="48">
        <f>F5*E5</f>
        <v>0</v>
      </c>
      <c r="H5" s="170">
        <v>10</v>
      </c>
      <c r="I5" s="36">
        <f>H5*E5</f>
        <v>6150</v>
      </c>
      <c r="J5" s="170">
        <v>10</v>
      </c>
      <c r="K5" s="36">
        <f>J5*E5</f>
        <v>6150</v>
      </c>
      <c r="L5" s="170">
        <v>10</v>
      </c>
      <c r="M5" s="36">
        <f>L5*E5</f>
        <v>6150</v>
      </c>
      <c r="N5" s="170">
        <v>10</v>
      </c>
      <c r="O5" s="36">
        <f>N5*E5</f>
        <v>6150</v>
      </c>
      <c r="P5" s="170">
        <v>10</v>
      </c>
      <c r="Q5" s="54">
        <f>P5*E5</f>
        <v>6150</v>
      </c>
      <c r="R5" s="50">
        <f>SUM(F5+H5+J5+L5+N5+P5)</f>
        <v>50</v>
      </c>
      <c r="S5" s="51">
        <f t="shared" ref="S5:S27" si="0">R5*E5</f>
        <v>30750</v>
      </c>
    </row>
    <row r="6" spans="1:19" x14ac:dyDescent="0.35">
      <c r="A6" s="165" t="s">
        <v>245</v>
      </c>
      <c r="B6" s="168" t="s">
        <v>246</v>
      </c>
      <c r="C6" s="168" t="s">
        <v>247</v>
      </c>
      <c r="D6" s="169" t="s">
        <v>172</v>
      </c>
      <c r="E6" s="36">
        <f>VLOOKUP(C6,Lists!$Q$5:$U$25, MATCH(D6,Lists!$Q$4:$U$4,0),0)</f>
        <v>2000</v>
      </c>
      <c r="F6" s="170">
        <v>0</v>
      </c>
      <c r="G6" s="48">
        <f t="shared" ref="G6:G27" si="1">F6*E6</f>
        <v>0</v>
      </c>
      <c r="H6" s="170">
        <v>10</v>
      </c>
      <c r="I6" s="36">
        <f t="shared" ref="I6:I27" si="2">H6*E6</f>
        <v>20000</v>
      </c>
      <c r="J6" s="170">
        <v>10</v>
      </c>
      <c r="K6" s="36">
        <f t="shared" ref="K6:K27" si="3">J6*E6</f>
        <v>20000</v>
      </c>
      <c r="L6" s="170">
        <v>10</v>
      </c>
      <c r="M6" s="36">
        <f t="shared" ref="M6:M27" si="4">L6*E6</f>
        <v>20000</v>
      </c>
      <c r="N6" s="170">
        <v>10</v>
      </c>
      <c r="O6" s="36">
        <f t="shared" ref="O6:O27" si="5">N6*E6</f>
        <v>20000</v>
      </c>
      <c r="P6" s="170">
        <v>10</v>
      </c>
      <c r="Q6" s="54">
        <f t="shared" ref="Q6:Q27" si="6">P6*E6</f>
        <v>20000</v>
      </c>
      <c r="R6" s="50">
        <f t="shared" ref="R6:R27" si="7">SUM(F6+H6+J6+L6+N6+P6)</f>
        <v>50</v>
      </c>
      <c r="S6" s="49">
        <f t="shared" si="0"/>
        <v>100000</v>
      </c>
    </row>
    <row r="7" spans="1:19" x14ac:dyDescent="0.35">
      <c r="A7" s="165" t="s">
        <v>248</v>
      </c>
      <c r="B7" s="168" t="s">
        <v>187</v>
      </c>
      <c r="C7" s="168" t="s">
        <v>249</v>
      </c>
      <c r="D7" s="169" t="s">
        <v>180</v>
      </c>
      <c r="E7" s="36">
        <f>VLOOKUP(C7,Lists!$Q$5:$U$25, MATCH(D7,Lists!$Q$4:$U$4,0),0)</f>
        <v>615</v>
      </c>
      <c r="F7" s="170">
        <v>0</v>
      </c>
      <c r="G7" s="48">
        <f t="shared" si="1"/>
        <v>0</v>
      </c>
      <c r="H7" s="170">
        <v>12</v>
      </c>
      <c r="I7" s="36">
        <f t="shared" si="2"/>
        <v>7380</v>
      </c>
      <c r="J7" s="170">
        <v>12</v>
      </c>
      <c r="K7" s="36">
        <f t="shared" si="3"/>
        <v>7380</v>
      </c>
      <c r="L7" s="170">
        <v>12</v>
      </c>
      <c r="M7" s="36">
        <f t="shared" si="4"/>
        <v>7380</v>
      </c>
      <c r="N7" s="170">
        <v>12</v>
      </c>
      <c r="O7" s="36">
        <f t="shared" si="5"/>
        <v>7380</v>
      </c>
      <c r="P7" s="170">
        <v>12</v>
      </c>
      <c r="Q7" s="54">
        <f t="shared" si="6"/>
        <v>7380</v>
      </c>
      <c r="R7" s="50">
        <f t="shared" si="7"/>
        <v>60</v>
      </c>
      <c r="S7" s="49">
        <f t="shared" si="0"/>
        <v>36900</v>
      </c>
    </row>
    <row r="8" spans="1:19" x14ac:dyDescent="0.35">
      <c r="A8" s="165"/>
      <c r="B8" s="168" t="s">
        <v>200</v>
      </c>
      <c r="C8" s="168" t="s">
        <v>250</v>
      </c>
      <c r="D8" s="169" t="s">
        <v>172</v>
      </c>
      <c r="E8" s="36">
        <f>VLOOKUP(C8,Lists!$Q$5:$U$25, MATCH(D8,Lists!$Q$4:$U$4,0),0)</f>
        <v>1800</v>
      </c>
      <c r="F8" s="170">
        <v>0</v>
      </c>
      <c r="G8" s="48">
        <f t="shared" si="1"/>
        <v>0</v>
      </c>
      <c r="H8" s="170">
        <v>10</v>
      </c>
      <c r="I8" s="36">
        <f t="shared" si="2"/>
        <v>18000</v>
      </c>
      <c r="J8" s="170">
        <v>10</v>
      </c>
      <c r="K8" s="36">
        <f t="shared" si="3"/>
        <v>18000</v>
      </c>
      <c r="L8" s="170">
        <v>10</v>
      </c>
      <c r="M8" s="36">
        <f t="shared" si="4"/>
        <v>18000</v>
      </c>
      <c r="N8" s="170">
        <v>10</v>
      </c>
      <c r="O8" s="36">
        <f t="shared" si="5"/>
        <v>18000</v>
      </c>
      <c r="P8" s="170">
        <v>10</v>
      </c>
      <c r="Q8" s="54">
        <f t="shared" si="6"/>
        <v>18000</v>
      </c>
      <c r="R8" s="50">
        <f t="shared" si="7"/>
        <v>50</v>
      </c>
      <c r="S8" s="49">
        <f t="shared" si="0"/>
        <v>90000</v>
      </c>
    </row>
    <row r="9" spans="1:19" x14ac:dyDescent="0.35">
      <c r="A9" s="165" t="s">
        <v>251</v>
      </c>
      <c r="B9" s="168" t="s">
        <v>200</v>
      </c>
      <c r="C9" s="168" t="s">
        <v>252</v>
      </c>
      <c r="D9" s="169" t="s">
        <v>172</v>
      </c>
      <c r="E9" s="36">
        <f>VLOOKUP(C9,Lists!$Q$5:$U$25, MATCH(D9,Lists!$Q$4:$U$4,0),0)</f>
        <v>1913</v>
      </c>
      <c r="F9" s="170">
        <v>0</v>
      </c>
      <c r="G9" s="48">
        <f t="shared" si="1"/>
        <v>0</v>
      </c>
      <c r="H9" s="170">
        <v>12</v>
      </c>
      <c r="I9" s="36">
        <f t="shared" si="2"/>
        <v>22956</v>
      </c>
      <c r="J9" s="170">
        <v>12</v>
      </c>
      <c r="K9" s="36">
        <f t="shared" si="3"/>
        <v>22956</v>
      </c>
      <c r="L9" s="170">
        <v>12</v>
      </c>
      <c r="M9" s="36">
        <f t="shared" si="4"/>
        <v>22956</v>
      </c>
      <c r="N9" s="170">
        <v>12</v>
      </c>
      <c r="O9" s="36">
        <f t="shared" si="5"/>
        <v>22956</v>
      </c>
      <c r="P9" s="170">
        <v>12</v>
      </c>
      <c r="Q9" s="54">
        <f t="shared" si="6"/>
        <v>22956</v>
      </c>
      <c r="R9" s="50">
        <f t="shared" si="7"/>
        <v>60</v>
      </c>
      <c r="S9" s="49">
        <f t="shared" si="0"/>
        <v>114780</v>
      </c>
    </row>
    <row r="10" spans="1:19" x14ac:dyDescent="0.35">
      <c r="A10" s="165"/>
      <c r="B10" s="168" t="s">
        <v>187</v>
      </c>
      <c r="C10" s="168" t="s">
        <v>185</v>
      </c>
      <c r="D10" s="169" t="s">
        <v>180</v>
      </c>
      <c r="E10" s="36">
        <f>VLOOKUP(C10,Lists!$Q$5:$U$25, MATCH(D10,Lists!$Q$4:$U$4,0),0)</f>
        <v>615</v>
      </c>
      <c r="F10" s="170">
        <v>0</v>
      </c>
      <c r="G10" s="48">
        <f t="shared" si="1"/>
        <v>0</v>
      </c>
      <c r="H10" s="170">
        <v>12</v>
      </c>
      <c r="I10" s="36">
        <f t="shared" si="2"/>
        <v>7380</v>
      </c>
      <c r="J10" s="170">
        <v>12</v>
      </c>
      <c r="K10" s="36">
        <f t="shared" si="3"/>
        <v>7380</v>
      </c>
      <c r="L10" s="170">
        <v>12</v>
      </c>
      <c r="M10" s="36">
        <f t="shared" si="4"/>
        <v>7380</v>
      </c>
      <c r="N10" s="170">
        <v>12</v>
      </c>
      <c r="O10" s="36">
        <f t="shared" si="5"/>
        <v>7380</v>
      </c>
      <c r="P10" s="170">
        <v>12</v>
      </c>
      <c r="Q10" s="54">
        <f t="shared" si="6"/>
        <v>7380</v>
      </c>
      <c r="R10" s="50">
        <f t="shared" si="7"/>
        <v>60</v>
      </c>
      <c r="S10" s="49">
        <f t="shared" si="0"/>
        <v>36900</v>
      </c>
    </row>
    <row r="11" spans="1:19" x14ac:dyDescent="0.35">
      <c r="A11" s="165" t="s">
        <v>253</v>
      </c>
      <c r="B11" s="168" t="s">
        <v>170</v>
      </c>
      <c r="C11" s="168" t="s">
        <v>171</v>
      </c>
      <c r="D11" s="169" t="s">
        <v>189</v>
      </c>
      <c r="E11" s="36">
        <f>VLOOKUP(C11,Lists!$Q$5:$U$25, MATCH(D11,Lists!$Q$4:$U$4,0),0)</f>
        <v>1850</v>
      </c>
      <c r="F11" s="170">
        <v>0</v>
      </c>
      <c r="G11" s="48">
        <f t="shared" si="1"/>
        <v>0</v>
      </c>
      <c r="H11" s="170">
        <v>12</v>
      </c>
      <c r="I11" s="36">
        <f t="shared" si="2"/>
        <v>22200</v>
      </c>
      <c r="J11" s="170">
        <v>12</v>
      </c>
      <c r="K11" s="36">
        <f t="shared" si="3"/>
        <v>22200</v>
      </c>
      <c r="L11" s="170">
        <v>12</v>
      </c>
      <c r="M11" s="36">
        <f t="shared" si="4"/>
        <v>22200</v>
      </c>
      <c r="N11" s="170">
        <v>12</v>
      </c>
      <c r="O11" s="36">
        <f t="shared" si="5"/>
        <v>22200</v>
      </c>
      <c r="P11" s="170">
        <v>12</v>
      </c>
      <c r="Q11" s="54">
        <f t="shared" si="6"/>
        <v>22200</v>
      </c>
      <c r="R11" s="50">
        <f t="shared" si="7"/>
        <v>60</v>
      </c>
      <c r="S11" s="49">
        <f t="shared" si="0"/>
        <v>111000</v>
      </c>
    </row>
    <row r="12" spans="1:19" x14ac:dyDescent="0.35">
      <c r="A12" s="165"/>
      <c r="B12" s="168" t="s">
        <v>187</v>
      </c>
      <c r="C12" s="168" t="s">
        <v>185</v>
      </c>
      <c r="D12" s="169" t="s">
        <v>180</v>
      </c>
      <c r="E12" s="36">
        <f>VLOOKUP(C12,Lists!$Q$5:$U$25, MATCH(D12,Lists!$Q$4:$U$4,0),0)</f>
        <v>615</v>
      </c>
      <c r="F12" s="170">
        <v>1</v>
      </c>
      <c r="G12" s="48">
        <f t="shared" si="1"/>
        <v>615</v>
      </c>
      <c r="H12" s="170">
        <v>12</v>
      </c>
      <c r="I12" s="36">
        <f t="shared" si="2"/>
        <v>7380</v>
      </c>
      <c r="J12" s="170">
        <v>12</v>
      </c>
      <c r="K12" s="36">
        <f t="shared" si="3"/>
        <v>7380</v>
      </c>
      <c r="L12" s="170">
        <v>12</v>
      </c>
      <c r="M12" s="36">
        <f t="shared" si="4"/>
        <v>7380</v>
      </c>
      <c r="N12" s="170">
        <v>12</v>
      </c>
      <c r="O12" s="36">
        <f t="shared" si="5"/>
        <v>7380</v>
      </c>
      <c r="P12" s="170">
        <v>12</v>
      </c>
      <c r="Q12" s="54">
        <f t="shared" si="6"/>
        <v>7380</v>
      </c>
      <c r="R12" s="50">
        <f t="shared" si="7"/>
        <v>61</v>
      </c>
      <c r="S12" s="49">
        <f t="shared" si="0"/>
        <v>37515</v>
      </c>
    </row>
    <row r="13" spans="1:19" x14ac:dyDescent="0.35">
      <c r="A13" s="165"/>
      <c r="B13" s="168" t="s">
        <v>187</v>
      </c>
      <c r="C13" s="168" t="s">
        <v>185</v>
      </c>
      <c r="D13" s="169" t="s">
        <v>180</v>
      </c>
      <c r="E13" s="36">
        <f>VLOOKUP(C13,Lists!$Q$5:$U$25, MATCH(D13,Lists!$Q$4:$U$4,0),0)</f>
        <v>615</v>
      </c>
      <c r="F13" s="170">
        <v>0</v>
      </c>
      <c r="G13" s="48">
        <f t="shared" si="1"/>
        <v>0</v>
      </c>
      <c r="H13" s="170">
        <v>12</v>
      </c>
      <c r="I13" s="36">
        <f t="shared" si="2"/>
        <v>7380</v>
      </c>
      <c r="J13" s="170">
        <v>12</v>
      </c>
      <c r="K13" s="36">
        <f t="shared" si="3"/>
        <v>7380</v>
      </c>
      <c r="L13" s="170">
        <v>12</v>
      </c>
      <c r="M13" s="36">
        <f t="shared" si="4"/>
        <v>7380</v>
      </c>
      <c r="N13" s="170">
        <v>12</v>
      </c>
      <c r="O13" s="36">
        <f t="shared" si="5"/>
        <v>7380</v>
      </c>
      <c r="P13" s="170">
        <v>12</v>
      </c>
      <c r="Q13" s="54">
        <f t="shared" si="6"/>
        <v>7380</v>
      </c>
      <c r="R13" s="50">
        <f t="shared" si="7"/>
        <v>60</v>
      </c>
      <c r="S13" s="49">
        <f t="shared" si="0"/>
        <v>36900</v>
      </c>
    </row>
    <row r="14" spans="1:19" x14ac:dyDescent="0.35">
      <c r="A14" s="165"/>
      <c r="B14" s="168" t="s">
        <v>198</v>
      </c>
      <c r="C14" s="168" t="s">
        <v>199</v>
      </c>
      <c r="D14" s="169" t="s">
        <v>172</v>
      </c>
      <c r="E14" s="36">
        <f>VLOOKUP(C14,Lists!$Q$5:$U$25, MATCH(D14,Lists!$Q$4:$U$4,0),0)</f>
        <v>2400</v>
      </c>
      <c r="F14" s="170">
        <v>0</v>
      </c>
      <c r="G14" s="48">
        <f t="shared" si="1"/>
        <v>0</v>
      </c>
      <c r="H14" s="170"/>
      <c r="I14" s="36">
        <f t="shared" si="2"/>
        <v>0</v>
      </c>
      <c r="J14" s="170"/>
      <c r="K14" s="36">
        <f t="shared" si="3"/>
        <v>0</v>
      </c>
      <c r="L14" s="170"/>
      <c r="M14" s="36">
        <f t="shared" si="4"/>
        <v>0</v>
      </c>
      <c r="N14" s="170"/>
      <c r="O14" s="36">
        <f t="shared" si="5"/>
        <v>0</v>
      </c>
      <c r="P14" s="170"/>
      <c r="Q14" s="54">
        <f t="shared" si="6"/>
        <v>0</v>
      </c>
      <c r="R14" s="50">
        <f t="shared" si="7"/>
        <v>0</v>
      </c>
      <c r="S14" s="49">
        <f t="shared" si="0"/>
        <v>0</v>
      </c>
    </row>
    <row r="15" spans="1:19" x14ac:dyDescent="0.35">
      <c r="A15" s="165"/>
      <c r="B15" s="168" t="s">
        <v>187</v>
      </c>
      <c r="C15" s="168" t="s">
        <v>185</v>
      </c>
      <c r="D15" s="169" t="s">
        <v>254</v>
      </c>
      <c r="E15" s="36">
        <f>VLOOKUP(C15,Lists!$Q$5:$U$25, MATCH(D15,Lists!$Q$4:$U$4,0),0)</f>
        <v>1300</v>
      </c>
      <c r="F15" s="170">
        <v>0</v>
      </c>
      <c r="G15" s="48">
        <f t="shared" si="1"/>
        <v>0</v>
      </c>
      <c r="H15" s="170"/>
      <c r="I15" s="36">
        <f t="shared" si="2"/>
        <v>0</v>
      </c>
      <c r="J15" s="170"/>
      <c r="K15" s="36">
        <f t="shared" si="3"/>
        <v>0</v>
      </c>
      <c r="L15" s="170"/>
      <c r="M15" s="36">
        <f t="shared" si="4"/>
        <v>0</v>
      </c>
      <c r="N15" s="170"/>
      <c r="O15" s="36">
        <f t="shared" si="5"/>
        <v>0</v>
      </c>
      <c r="P15" s="170"/>
      <c r="Q15" s="54">
        <f t="shared" si="6"/>
        <v>0</v>
      </c>
      <c r="R15" s="50">
        <f t="shared" si="7"/>
        <v>0</v>
      </c>
      <c r="S15" s="49">
        <f t="shared" si="0"/>
        <v>0</v>
      </c>
    </row>
    <row r="16" spans="1:19" x14ac:dyDescent="0.35">
      <c r="A16" s="165"/>
      <c r="B16" s="168" t="s">
        <v>187</v>
      </c>
      <c r="C16" s="168" t="s">
        <v>185</v>
      </c>
      <c r="D16" s="169" t="s">
        <v>180</v>
      </c>
      <c r="E16" s="36">
        <f>VLOOKUP(C16,Lists!$Q$5:$U$25, MATCH(D16,Lists!$Q$4:$U$4,0),0)</f>
        <v>615</v>
      </c>
      <c r="F16" s="170">
        <v>0</v>
      </c>
      <c r="G16" s="48">
        <f t="shared" si="1"/>
        <v>0</v>
      </c>
      <c r="H16" s="170"/>
      <c r="I16" s="36">
        <f t="shared" si="2"/>
        <v>0</v>
      </c>
      <c r="J16" s="170"/>
      <c r="K16" s="36">
        <f t="shared" si="3"/>
        <v>0</v>
      </c>
      <c r="L16" s="170"/>
      <c r="M16" s="36">
        <f t="shared" si="4"/>
        <v>0</v>
      </c>
      <c r="N16" s="170"/>
      <c r="O16" s="36">
        <f t="shared" si="5"/>
        <v>0</v>
      </c>
      <c r="P16" s="170"/>
      <c r="Q16" s="54">
        <f t="shared" si="6"/>
        <v>0</v>
      </c>
      <c r="R16" s="50">
        <f t="shared" si="7"/>
        <v>0</v>
      </c>
      <c r="S16" s="49">
        <f t="shared" si="0"/>
        <v>0</v>
      </c>
    </row>
    <row r="17" spans="1:19" x14ac:dyDescent="0.35">
      <c r="A17" s="165"/>
      <c r="B17" s="168" t="s">
        <v>187</v>
      </c>
      <c r="C17" s="168" t="s">
        <v>185</v>
      </c>
      <c r="D17" s="169" t="s">
        <v>180</v>
      </c>
      <c r="E17" s="36">
        <f>VLOOKUP(C17,Lists!$Q$5:$U$25, MATCH(D17,Lists!$Q$4:$U$4,0),0)</f>
        <v>615</v>
      </c>
      <c r="F17" s="170">
        <v>0</v>
      </c>
      <c r="G17" s="48">
        <f t="shared" si="1"/>
        <v>0</v>
      </c>
      <c r="H17" s="170"/>
      <c r="I17" s="36">
        <f t="shared" si="2"/>
        <v>0</v>
      </c>
      <c r="J17" s="170"/>
      <c r="K17" s="36">
        <f t="shared" si="3"/>
        <v>0</v>
      </c>
      <c r="L17" s="170"/>
      <c r="M17" s="36">
        <f t="shared" si="4"/>
        <v>0</v>
      </c>
      <c r="N17" s="170"/>
      <c r="O17" s="36">
        <f t="shared" si="5"/>
        <v>0</v>
      </c>
      <c r="P17" s="170"/>
      <c r="Q17" s="54">
        <f t="shared" si="6"/>
        <v>0</v>
      </c>
      <c r="R17" s="50">
        <f t="shared" si="7"/>
        <v>0</v>
      </c>
      <c r="S17" s="49">
        <f t="shared" si="0"/>
        <v>0</v>
      </c>
    </row>
    <row r="18" spans="1:19" x14ac:dyDescent="0.35">
      <c r="A18" s="165"/>
      <c r="B18" s="168" t="s">
        <v>187</v>
      </c>
      <c r="C18" s="168" t="s">
        <v>185</v>
      </c>
      <c r="D18" s="169" t="s">
        <v>180</v>
      </c>
      <c r="E18" s="36">
        <f>VLOOKUP(C18,Lists!$Q$5:$U$25, MATCH(D18,Lists!$Q$4:$U$4,0),0)</f>
        <v>615</v>
      </c>
      <c r="F18" s="170">
        <v>0</v>
      </c>
      <c r="G18" s="48">
        <f t="shared" si="1"/>
        <v>0</v>
      </c>
      <c r="H18" s="170"/>
      <c r="I18" s="36">
        <f t="shared" si="2"/>
        <v>0</v>
      </c>
      <c r="J18" s="170"/>
      <c r="K18" s="36">
        <f t="shared" si="3"/>
        <v>0</v>
      </c>
      <c r="L18" s="170"/>
      <c r="M18" s="36">
        <f t="shared" si="4"/>
        <v>0</v>
      </c>
      <c r="N18" s="170"/>
      <c r="O18" s="36">
        <f t="shared" si="5"/>
        <v>0</v>
      </c>
      <c r="P18" s="170"/>
      <c r="Q18" s="54">
        <f t="shared" si="6"/>
        <v>0</v>
      </c>
      <c r="R18" s="50">
        <f t="shared" si="7"/>
        <v>0</v>
      </c>
      <c r="S18" s="49">
        <f t="shared" si="0"/>
        <v>0</v>
      </c>
    </row>
    <row r="19" spans="1:19" x14ac:dyDescent="0.35">
      <c r="A19" s="165"/>
      <c r="B19" s="168" t="s">
        <v>170</v>
      </c>
      <c r="C19" s="168" t="s">
        <v>255</v>
      </c>
      <c r="D19" s="169" t="s">
        <v>172</v>
      </c>
      <c r="E19" s="36">
        <f>VLOOKUP(C19,Lists!$Q$5:$U$25, MATCH(D19,Lists!$Q$4:$U$4,0),0)</f>
        <v>1800</v>
      </c>
      <c r="F19" s="170">
        <v>0</v>
      </c>
      <c r="G19" s="48">
        <f t="shared" si="1"/>
        <v>0</v>
      </c>
      <c r="H19" s="170"/>
      <c r="I19" s="36">
        <f t="shared" si="2"/>
        <v>0</v>
      </c>
      <c r="J19" s="170"/>
      <c r="K19" s="36">
        <f t="shared" si="3"/>
        <v>0</v>
      </c>
      <c r="L19" s="170"/>
      <c r="M19" s="36">
        <f t="shared" si="4"/>
        <v>0</v>
      </c>
      <c r="N19" s="170"/>
      <c r="O19" s="36">
        <f t="shared" si="5"/>
        <v>0</v>
      </c>
      <c r="P19" s="170"/>
      <c r="Q19" s="54">
        <f t="shared" si="6"/>
        <v>0</v>
      </c>
      <c r="R19" s="50">
        <f t="shared" si="7"/>
        <v>0</v>
      </c>
      <c r="S19" s="49">
        <f t="shared" si="0"/>
        <v>0</v>
      </c>
    </row>
    <row r="20" spans="1:19" x14ac:dyDescent="0.35">
      <c r="A20" s="165"/>
      <c r="B20" s="168" t="s">
        <v>198</v>
      </c>
      <c r="C20" s="168" t="s">
        <v>199</v>
      </c>
      <c r="D20" s="169" t="s">
        <v>172</v>
      </c>
      <c r="E20" s="36">
        <f>VLOOKUP(C20,Lists!$Q$5:$U$25, MATCH(D20,Lists!$Q$4:$U$4,0),0)</f>
        <v>2400</v>
      </c>
      <c r="F20" s="170">
        <v>0</v>
      </c>
      <c r="G20" s="48">
        <f t="shared" si="1"/>
        <v>0</v>
      </c>
      <c r="H20" s="170">
        <v>1</v>
      </c>
      <c r="I20" s="36">
        <f t="shared" si="2"/>
        <v>2400</v>
      </c>
      <c r="J20" s="170"/>
      <c r="K20" s="36">
        <f t="shared" si="3"/>
        <v>0</v>
      </c>
      <c r="L20" s="170"/>
      <c r="M20" s="36">
        <f t="shared" si="4"/>
        <v>0</v>
      </c>
      <c r="N20" s="170"/>
      <c r="O20" s="36">
        <f t="shared" si="5"/>
        <v>0</v>
      </c>
      <c r="P20" s="170"/>
      <c r="Q20" s="54">
        <f t="shared" si="6"/>
        <v>0</v>
      </c>
      <c r="R20" s="50">
        <f t="shared" si="7"/>
        <v>1</v>
      </c>
      <c r="S20" s="49">
        <f t="shared" si="0"/>
        <v>2400</v>
      </c>
    </row>
    <row r="21" spans="1:19" x14ac:dyDescent="0.35">
      <c r="A21" s="165"/>
      <c r="B21" s="168" t="s">
        <v>196</v>
      </c>
      <c r="C21" s="168" t="s">
        <v>197</v>
      </c>
      <c r="D21" s="169" t="s">
        <v>172</v>
      </c>
      <c r="E21" s="36">
        <f>VLOOKUP(C21,Lists!$Q$5:$U$25, MATCH(D21,Lists!$Q$4:$U$4,0),0)</f>
        <v>1986</v>
      </c>
      <c r="F21" s="170">
        <v>0</v>
      </c>
      <c r="G21" s="48">
        <f t="shared" si="1"/>
        <v>0</v>
      </c>
      <c r="H21" s="170"/>
      <c r="I21" s="36">
        <f t="shared" si="2"/>
        <v>0</v>
      </c>
      <c r="J21" s="170"/>
      <c r="K21" s="36">
        <f t="shared" si="3"/>
        <v>0</v>
      </c>
      <c r="L21" s="170"/>
      <c r="M21" s="36">
        <f t="shared" si="4"/>
        <v>0</v>
      </c>
      <c r="N21" s="170"/>
      <c r="O21" s="36">
        <f t="shared" si="5"/>
        <v>0</v>
      </c>
      <c r="P21" s="170"/>
      <c r="Q21" s="54">
        <f t="shared" si="6"/>
        <v>0</v>
      </c>
      <c r="R21" s="50">
        <f t="shared" si="7"/>
        <v>0</v>
      </c>
      <c r="S21" s="49">
        <f t="shared" si="0"/>
        <v>0</v>
      </c>
    </row>
    <row r="22" spans="1:19" x14ac:dyDescent="0.35">
      <c r="A22" s="165"/>
      <c r="B22" s="168" t="s">
        <v>196</v>
      </c>
      <c r="C22" s="168" t="s">
        <v>197</v>
      </c>
      <c r="D22" s="169" t="s">
        <v>172</v>
      </c>
      <c r="E22" s="36">
        <f>VLOOKUP(C22,Lists!$Q$5:$U$25, MATCH(D22,Lists!$Q$4:$U$4,0),0)</f>
        <v>1986</v>
      </c>
      <c r="F22" s="170">
        <v>0</v>
      </c>
      <c r="G22" s="48">
        <f t="shared" si="1"/>
        <v>0</v>
      </c>
      <c r="H22" s="170"/>
      <c r="I22" s="36">
        <f t="shared" si="2"/>
        <v>0</v>
      </c>
      <c r="J22" s="170"/>
      <c r="K22" s="36">
        <f t="shared" si="3"/>
        <v>0</v>
      </c>
      <c r="L22" s="170"/>
      <c r="M22" s="36">
        <f t="shared" si="4"/>
        <v>0</v>
      </c>
      <c r="N22" s="170"/>
      <c r="O22" s="36">
        <f t="shared" si="5"/>
        <v>0</v>
      </c>
      <c r="P22" s="170"/>
      <c r="Q22" s="54">
        <f t="shared" si="6"/>
        <v>0</v>
      </c>
      <c r="R22" s="50">
        <f t="shared" si="7"/>
        <v>0</v>
      </c>
      <c r="S22" s="49">
        <f t="shared" si="0"/>
        <v>0</v>
      </c>
    </row>
    <row r="23" spans="1:19" x14ac:dyDescent="0.35">
      <c r="A23" s="165"/>
      <c r="B23" s="168" t="s">
        <v>196</v>
      </c>
      <c r="C23" s="168" t="s">
        <v>197</v>
      </c>
      <c r="D23" s="169" t="s">
        <v>172</v>
      </c>
      <c r="E23" s="36">
        <f>VLOOKUP(C23,Lists!$Q$5:$U$25, MATCH(D23,Lists!$Q$4:$U$4,0),0)</f>
        <v>1986</v>
      </c>
      <c r="F23" s="170">
        <v>0</v>
      </c>
      <c r="G23" s="52">
        <f t="shared" si="1"/>
        <v>0</v>
      </c>
      <c r="H23" s="170"/>
      <c r="I23" s="36">
        <f t="shared" si="2"/>
        <v>0</v>
      </c>
      <c r="J23" s="170"/>
      <c r="K23" s="36">
        <f t="shared" si="3"/>
        <v>0</v>
      </c>
      <c r="L23" s="170"/>
      <c r="M23" s="36">
        <f t="shared" si="4"/>
        <v>0</v>
      </c>
      <c r="N23" s="170"/>
      <c r="O23" s="36">
        <f t="shared" si="5"/>
        <v>0</v>
      </c>
      <c r="P23" s="170"/>
      <c r="Q23" s="54">
        <f t="shared" si="6"/>
        <v>0</v>
      </c>
      <c r="R23" s="50">
        <f t="shared" si="7"/>
        <v>0</v>
      </c>
      <c r="S23" s="49">
        <f t="shared" si="0"/>
        <v>0</v>
      </c>
    </row>
    <row r="24" spans="1:19" x14ac:dyDescent="0.35">
      <c r="A24" s="165"/>
      <c r="B24" s="168" t="s">
        <v>196</v>
      </c>
      <c r="C24" s="168" t="s">
        <v>197</v>
      </c>
      <c r="D24" s="169" t="s">
        <v>172</v>
      </c>
      <c r="E24" s="36">
        <f>VLOOKUP(C24,Lists!$Q$5:$U$25, MATCH(D24,Lists!$Q$4:$U$4,0),0)</f>
        <v>1986</v>
      </c>
      <c r="F24" s="170">
        <v>0</v>
      </c>
      <c r="G24" s="53">
        <f t="shared" si="1"/>
        <v>0</v>
      </c>
      <c r="H24" s="170"/>
      <c r="I24" s="36">
        <f t="shared" si="2"/>
        <v>0</v>
      </c>
      <c r="J24" s="170"/>
      <c r="K24" s="36">
        <f t="shared" si="3"/>
        <v>0</v>
      </c>
      <c r="L24" s="170"/>
      <c r="M24" s="36">
        <f t="shared" si="4"/>
        <v>0</v>
      </c>
      <c r="N24" s="170"/>
      <c r="O24" s="36">
        <f t="shared" si="5"/>
        <v>0</v>
      </c>
      <c r="P24" s="170"/>
      <c r="Q24" s="54">
        <f t="shared" si="6"/>
        <v>0</v>
      </c>
      <c r="R24" s="50">
        <f t="shared" si="7"/>
        <v>0</v>
      </c>
      <c r="S24" s="49">
        <f t="shared" si="0"/>
        <v>0</v>
      </c>
    </row>
    <row r="25" spans="1:19" x14ac:dyDescent="0.35">
      <c r="A25" s="165"/>
      <c r="B25" s="168" t="s">
        <v>196</v>
      </c>
      <c r="C25" s="168" t="s">
        <v>197</v>
      </c>
      <c r="D25" s="169" t="s">
        <v>172</v>
      </c>
      <c r="E25" s="36">
        <f>VLOOKUP(C25,Lists!$Q$5:$U$25, MATCH(D25,Lists!$Q$4:$U$4,0),0)</f>
        <v>1986</v>
      </c>
      <c r="F25" s="170">
        <v>0</v>
      </c>
      <c r="G25" s="53">
        <f t="shared" si="1"/>
        <v>0</v>
      </c>
      <c r="H25" s="170"/>
      <c r="I25" s="36">
        <f t="shared" si="2"/>
        <v>0</v>
      </c>
      <c r="J25" s="170"/>
      <c r="K25" s="36">
        <f t="shared" si="3"/>
        <v>0</v>
      </c>
      <c r="L25" s="170"/>
      <c r="M25" s="36">
        <f t="shared" si="4"/>
        <v>0</v>
      </c>
      <c r="N25" s="170"/>
      <c r="O25" s="36">
        <f t="shared" si="5"/>
        <v>0</v>
      </c>
      <c r="P25" s="170"/>
      <c r="Q25" s="54">
        <f t="shared" si="6"/>
        <v>0</v>
      </c>
      <c r="R25" s="50">
        <f t="shared" si="7"/>
        <v>0</v>
      </c>
      <c r="S25" s="49">
        <f t="shared" si="0"/>
        <v>0</v>
      </c>
    </row>
    <row r="26" spans="1:19" x14ac:dyDescent="0.35">
      <c r="A26" s="165"/>
      <c r="B26" s="168" t="s">
        <v>196</v>
      </c>
      <c r="C26" s="168" t="s">
        <v>197</v>
      </c>
      <c r="D26" s="169" t="s">
        <v>172</v>
      </c>
      <c r="E26" s="36">
        <f>VLOOKUP(C26,Lists!$Q$5:$U$25, MATCH(D26,Lists!$Q$4:$U$4,0),0)</f>
        <v>1986</v>
      </c>
      <c r="F26" s="170">
        <v>0</v>
      </c>
      <c r="G26" s="53">
        <f t="shared" si="1"/>
        <v>0</v>
      </c>
      <c r="H26" s="170"/>
      <c r="I26" s="36">
        <f t="shared" si="2"/>
        <v>0</v>
      </c>
      <c r="J26" s="170"/>
      <c r="K26" s="36">
        <f t="shared" si="3"/>
        <v>0</v>
      </c>
      <c r="L26" s="170"/>
      <c r="M26" s="36">
        <f t="shared" si="4"/>
        <v>0</v>
      </c>
      <c r="N26" s="170"/>
      <c r="O26" s="36">
        <f t="shared" si="5"/>
        <v>0</v>
      </c>
      <c r="P26" s="170"/>
      <c r="Q26" s="54">
        <f t="shared" si="6"/>
        <v>0</v>
      </c>
      <c r="R26" s="50">
        <f t="shared" si="7"/>
        <v>0</v>
      </c>
      <c r="S26" s="49">
        <f t="shared" si="0"/>
        <v>0</v>
      </c>
    </row>
    <row r="27" spans="1:19" x14ac:dyDescent="0.35">
      <c r="A27" s="166"/>
      <c r="B27" s="168" t="s">
        <v>196</v>
      </c>
      <c r="C27" s="168" t="s">
        <v>197</v>
      </c>
      <c r="D27" s="169" t="s">
        <v>172</v>
      </c>
      <c r="E27" s="36">
        <f>VLOOKUP(C27,Lists!$Q$5:$U$25, MATCH(D27,Lists!$Q$4:$U$4,0),0)</f>
        <v>1986</v>
      </c>
      <c r="F27" s="170">
        <v>0</v>
      </c>
      <c r="G27" s="53">
        <f t="shared" si="1"/>
        <v>0</v>
      </c>
      <c r="H27" s="170"/>
      <c r="I27" s="36">
        <f t="shared" si="2"/>
        <v>0</v>
      </c>
      <c r="J27" s="170"/>
      <c r="K27" s="36">
        <f t="shared" si="3"/>
        <v>0</v>
      </c>
      <c r="L27" s="170"/>
      <c r="M27" s="36">
        <f t="shared" si="4"/>
        <v>0</v>
      </c>
      <c r="N27" s="170"/>
      <c r="O27" s="36">
        <f t="shared" si="5"/>
        <v>0</v>
      </c>
      <c r="P27" s="170"/>
      <c r="Q27" s="54">
        <f t="shared" si="6"/>
        <v>0</v>
      </c>
      <c r="R27" s="50">
        <f t="shared" si="7"/>
        <v>0</v>
      </c>
      <c r="S27" s="49">
        <f t="shared" si="0"/>
        <v>0</v>
      </c>
    </row>
    <row r="28" spans="1:19" ht="24" customHeight="1" thickBot="1" x14ac:dyDescent="0.4">
      <c r="A28" s="535" t="s">
        <v>256</v>
      </c>
      <c r="B28" s="535"/>
      <c r="C28" s="535"/>
      <c r="D28" s="535"/>
      <c r="E28" s="536"/>
      <c r="F28" s="62"/>
      <c r="G28" s="61">
        <f>SUM(G5:G27)</f>
        <v>615</v>
      </c>
      <c r="H28" s="63"/>
      <c r="I28" s="61">
        <f>SUM(I5:I27)</f>
        <v>121226</v>
      </c>
      <c r="J28" s="63"/>
      <c r="K28" s="61">
        <f>SUM(K5:K27)</f>
        <v>118826</v>
      </c>
      <c r="L28" s="63"/>
      <c r="M28" s="61">
        <f>SUM(M5:M27)</f>
        <v>118826</v>
      </c>
      <c r="N28" s="63"/>
      <c r="O28" s="61">
        <f>SUM(O5:O27)</f>
        <v>118826</v>
      </c>
      <c r="P28" s="63"/>
      <c r="Q28" s="61">
        <f>SUM(Q5:Q27)</f>
        <v>118826</v>
      </c>
      <c r="R28" s="64"/>
      <c r="S28" s="60">
        <f>SUM(S5:S27)</f>
        <v>597145</v>
      </c>
    </row>
    <row r="29" spans="1:19" ht="2.75" customHeight="1" thickTop="1" x14ac:dyDescent="0.35">
      <c r="A29" s="55"/>
      <c r="B29" s="56"/>
      <c r="C29" s="56"/>
      <c r="D29" s="56"/>
      <c r="E29" s="57"/>
      <c r="F29" s="58"/>
      <c r="G29" s="57"/>
      <c r="H29" s="58"/>
      <c r="I29" s="56"/>
      <c r="J29" s="58"/>
      <c r="K29" s="56"/>
      <c r="L29" s="58"/>
      <c r="M29" s="56"/>
      <c r="N29" s="58"/>
      <c r="O29" s="56"/>
      <c r="P29" s="58"/>
      <c r="Q29" s="59"/>
      <c r="R29" s="56"/>
      <c r="S29" s="56"/>
    </row>
    <row r="30" spans="1:19" ht="18.5" x14ac:dyDescent="0.45">
      <c r="A30" s="530" t="s">
        <v>378</v>
      </c>
      <c r="B30" s="531"/>
      <c r="C30" s="531"/>
      <c r="D30" s="531"/>
      <c r="E30" s="531"/>
      <c r="F30" s="531"/>
      <c r="G30" s="531"/>
      <c r="H30" s="531"/>
      <c r="I30" s="531"/>
      <c r="J30" s="531"/>
      <c r="K30" s="531"/>
      <c r="L30" s="531"/>
      <c r="M30" s="531"/>
      <c r="N30" s="531"/>
      <c r="O30" s="531"/>
      <c r="P30" s="531"/>
      <c r="Q30" s="531"/>
      <c r="R30" s="531"/>
      <c r="S30" s="532"/>
    </row>
    <row r="31" spans="1:19" x14ac:dyDescent="0.35">
      <c r="A31" s="165" t="s">
        <v>244</v>
      </c>
      <c r="B31" s="168" t="s">
        <v>196</v>
      </c>
      <c r="C31" s="168" t="s">
        <v>197</v>
      </c>
      <c r="D31" s="169" t="s">
        <v>180</v>
      </c>
      <c r="E31" s="36">
        <f>VLOOKUP(C31,Lists!$Q$5:$U$25, MATCH(D31,Lists!$Q$4:$U$4,0),0)</f>
        <v>615</v>
      </c>
      <c r="F31" s="170">
        <v>0</v>
      </c>
      <c r="G31" s="48">
        <f>F31*E31</f>
        <v>0</v>
      </c>
      <c r="H31" s="170">
        <v>20</v>
      </c>
      <c r="I31" s="36">
        <f>H31*E31</f>
        <v>12300</v>
      </c>
      <c r="J31" s="170">
        <v>10</v>
      </c>
      <c r="K31" s="36">
        <f>J31*E31</f>
        <v>6150</v>
      </c>
      <c r="L31" s="170">
        <v>10</v>
      </c>
      <c r="M31" s="36">
        <f>L31*E31</f>
        <v>6150</v>
      </c>
      <c r="N31" s="170">
        <v>10</v>
      </c>
      <c r="O31" s="36">
        <f>N31*E31</f>
        <v>6150</v>
      </c>
      <c r="P31" s="170">
        <v>10</v>
      </c>
      <c r="Q31" s="54">
        <f>P31*E31</f>
        <v>6150</v>
      </c>
      <c r="R31" s="50">
        <f>SUM(F31+H31+J31+L31+N31+P31)</f>
        <v>60</v>
      </c>
      <c r="S31" s="51">
        <f t="shared" ref="S31:S53" si="8">R31*E31</f>
        <v>36900</v>
      </c>
    </row>
    <row r="32" spans="1:19" x14ac:dyDescent="0.35">
      <c r="A32" s="165" t="s">
        <v>245</v>
      </c>
      <c r="B32" s="168" t="s">
        <v>246</v>
      </c>
      <c r="C32" s="168" t="s">
        <v>247</v>
      </c>
      <c r="D32" s="169" t="s">
        <v>172</v>
      </c>
      <c r="E32" s="36">
        <f>VLOOKUP(C32,Lists!$Q$5:$U$25, MATCH(D32,Lists!$Q$4:$U$4,0),0)</f>
        <v>2000</v>
      </c>
      <c r="F32" s="170">
        <v>0</v>
      </c>
      <c r="G32" s="48">
        <f t="shared" ref="G32:G53" si="9">F32*E32</f>
        <v>0</v>
      </c>
      <c r="H32" s="170">
        <v>10</v>
      </c>
      <c r="I32" s="36">
        <f t="shared" ref="I32:I53" si="10">H32*E32</f>
        <v>20000</v>
      </c>
      <c r="J32" s="170">
        <v>10</v>
      </c>
      <c r="K32" s="36">
        <f t="shared" ref="K32:K53" si="11">J32*E32</f>
        <v>20000</v>
      </c>
      <c r="L32" s="170">
        <v>10</v>
      </c>
      <c r="M32" s="36">
        <f t="shared" ref="M32:M53" si="12">L32*E32</f>
        <v>20000</v>
      </c>
      <c r="N32" s="170">
        <v>10</v>
      </c>
      <c r="O32" s="36">
        <f t="shared" ref="O32:O53" si="13">N32*E32</f>
        <v>20000</v>
      </c>
      <c r="P32" s="170">
        <v>10</v>
      </c>
      <c r="Q32" s="54">
        <f t="shared" ref="Q32:Q53" si="14">P32*E32</f>
        <v>20000</v>
      </c>
      <c r="R32" s="50">
        <f t="shared" ref="R32:R53" si="15">SUM(F32+H32+J32+L32+N32+P32)</f>
        <v>50</v>
      </c>
      <c r="S32" s="49">
        <f t="shared" si="8"/>
        <v>100000</v>
      </c>
    </row>
    <row r="33" spans="1:19" x14ac:dyDescent="0.35">
      <c r="A33" s="165" t="s">
        <v>248</v>
      </c>
      <c r="B33" s="168" t="s">
        <v>187</v>
      </c>
      <c r="C33" s="168" t="s">
        <v>249</v>
      </c>
      <c r="D33" s="169" t="s">
        <v>180</v>
      </c>
      <c r="E33" s="36">
        <f>VLOOKUP(C33,Lists!$Q$5:$U$25, MATCH(D33,Lists!$Q$4:$U$4,0),0)</f>
        <v>615</v>
      </c>
      <c r="F33" s="170">
        <v>0</v>
      </c>
      <c r="G33" s="48">
        <f t="shared" si="9"/>
        <v>0</v>
      </c>
      <c r="H33" s="170">
        <v>20</v>
      </c>
      <c r="I33" s="36">
        <f t="shared" si="10"/>
        <v>12300</v>
      </c>
      <c r="J33" s="170">
        <v>12</v>
      </c>
      <c r="K33" s="36">
        <f t="shared" si="11"/>
        <v>7380</v>
      </c>
      <c r="L33" s="170">
        <v>12</v>
      </c>
      <c r="M33" s="36">
        <f t="shared" si="12"/>
        <v>7380</v>
      </c>
      <c r="N33" s="170">
        <v>12</v>
      </c>
      <c r="O33" s="36">
        <f t="shared" si="13"/>
        <v>7380</v>
      </c>
      <c r="P33" s="170">
        <v>12</v>
      </c>
      <c r="Q33" s="54">
        <f t="shared" si="14"/>
        <v>7380</v>
      </c>
      <c r="R33" s="50">
        <f t="shared" si="15"/>
        <v>68</v>
      </c>
      <c r="S33" s="49">
        <f t="shared" si="8"/>
        <v>41820</v>
      </c>
    </row>
    <row r="34" spans="1:19" x14ac:dyDescent="0.35">
      <c r="A34" s="165"/>
      <c r="B34" s="168" t="s">
        <v>200</v>
      </c>
      <c r="C34" s="168" t="s">
        <v>250</v>
      </c>
      <c r="D34" s="169" t="s">
        <v>172</v>
      </c>
      <c r="E34" s="36">
        <f>VLOOKUP(C34,Lists!$Q$5:$U$25, MATCH(D34,Lists!$Q$4:$U$4,0),0)</f>
        <v>1800</v>
      </c>
      <c r="F34" s="170">
        <v>0</v>
      </c>
      <c r="G34" s="48">
        <f t="shared" si="9"/>
        <v>0</v>
      </c>
      <c r="H34" s="170">
        <v>10</v>
      </c>
      <c r="I34" s="36">
        <f t="shared" si="10"/>
        <v>18000</v>
      </c>
      <c r="J34" s="170">
        <v>15</v>
      </c>
      <c r="K34" s="36">
        <f t="shared" si="11"/>
        <v>27000</v>
      </c>
      <c r="L34" s="170">
        <v>40</v>
      </c>
      <c r="M34" s="36">
        <f t="shared" si="12"/>
        <v>72000</v>
      </c>
      <c r="N34" s="170">
        <v>10</v>
      </c>
      <c r="O34" s="36">
        <f t="shared" si="13"/>
        <v>18000</v>
      </c>
      <c r="P34" s="170">
        <v>10</v>
      </c>
      <c r="Q34" s="54">
        <f t="shared" si="14"/>
        <v>18000</v>
      </c>
      <c r="R34" s="50">
        <f t="shared" si="15"/>
        <v>85</v>
      </c>
      <c r="S34" s="49">
        <f t="shared" si="8"/>
        <v>153000</v>
      </c>
    </row>
    <row r="35" spans="1:19" x14ac:dyDescent="0.35">
      <c r="A35" s="165" t="s">
        <v>251</v>
      </c>
      <c r="B35" s="168" t="s">
        <v>200</v>
      </c>
      <c r="C35" s="168" t="s">
        <v>252</v>
      </c>
      <c r="D35" s="169" t="s">
        <v>172</v>
      </c>
      <c r="E35" s="36">
        <f>VLOOKUP(C35,Lists!$Q$5:$U$25, MATCH(D35,Lists!$Q$4:$U$4,0),0)</f>
        <v>1913</v>
      </c>
      <c r="F35" s="170">
        <v>0</v>
      </c>
      <c r="G35" s="48">
        <f t="shared" si="9"/>
        <v>0</v>
      </c>
      <c r="H35" s="170">
        <v>12</v>
      </c>
      <c r="I35" s="36">
        <f t="shared" si="10"/>
        <v>22956</v>
      </c>
      <c r="J35" s="170">
        <v>12</v>
      </c>
      <c r="K35" s="36">
        <f t="shared" si="11"/>
        <v>22956</v>
      </c>
      <c r="L35" s="170">
        <v>12</v>
      </c>
      <c r="M35" s="36">
        <f t="shared" si="12"/>
        <v>22956</v>
      </c>
      <c r="N35" s="170">
        <v>12</v>
      </c>
      <c r="O35" s="36">
        <f t="shared" si="13"/>
        <v>22956</v>
      </c>
      <c r="P35" s="170">
        <v>12</v>
      </c>
      <c r="Q35" s="54">
        <f t="shared" si="14"/>
        <v>22956</v>
      </c>
      <c r="R35" s="50">
        <f t="shared" si="15"/>
        <v>60</v>
      </c>
      <c r="S35" s="49">
        <f t="shared" si="8"/>
        <v>114780</v>
      </c>
    </row>
    <row r="36" spans="1:19" x14ac:dyDescent="0.35">
      <c r="A36" s="165"/>
      <c r="B36" s="168" t="s">
        <v>187</v>
      </c>
      <c r="C36" s="168" t="s">
        <v>185</v>
      </c>
      <c r="D36" s="169" t="s">
        <v>180</v>
      </c>
      <c r="E36" s="36">
        <f>VLOOKUP(C36,Lists!$Q$5:$U$25, MATCH(D36,Lists!$Q$4:$U$4,0),0)</f>
        <v>615</v>
      </c>
      <c r="F36" s="170">
        <v>0</v>
      </c>
      <c r="G36" s="48">
        <f t="shared" si="9"/>
        <v>0</v>
      </c>
      <c r="H36" s="170">
        <v>12</v>
      </c>
      <c r="I36" s="36">
        <f t="shared" si="10"/>
        <v>7380</v>
      </c>
      <c r="J36" s="170">
        <v>12</v>
      </c>
      <c r="K36" s="36">
        <f t="shared" si="11"/>
        <v>7380</v>
      </c>
      <c r="L36" s="170">
        <v>12</v>
      </c>
      <c r="M36" s="36">
        <f t="shared" si="12"/>
        <v>7380</v>
      </c>
      <c r="N36" s="170">
        <v>12</v>
      </c>
      <c r="O36" s="36">
        <f t="shared" si="13"/>
        <v>7380</v>
      </c>
      <c r="P36" s="170">
        <v>12</v>
      </c>
      <c r="Q36" s="54">
        <f t="shared" si="14"/>
        <v>7380</v>
      </c>
      <c r="R36" s="50">
        <f t="shared" si="15"/>
        <v>60</v>
      </c>
      <c r="S36" s="49">
        <f t="shared" si="8"/>
        <v>36900</v>
      </c>
    </row>
    <row r="37" spans="1:19" x14ac:dyDescent="0.35">
      <c r="A37" s="165" t="s">
        <v>253</v>
      </c>
      <c r="B37" s="168" t="s">
        <v>170</v>
      </c>
      <c r="C37" s="168" t="s">
        <v>171</v>
      </c>
      <c r="D37" s="169" t="s">
        <v>189</v>
      </c>
      <c r="E37" s="36">
        <f>VLOOKUP(C37,Lists!$Q$5:$U$25, MATCH(D37,Lists!$Q$4:$U$4,0),0)</f>
        <v>1850</v>
      </c>
      <c r="F37" s="170">
        <v>0</v>
      </c>
      <c r="G37" s="48">
        <f t="shared" si="9"/>
        <v>0</v>
      </c>
      <c r="H37" s="170">
        <v>12</v>
      </c>
      <c r="I37" s="36">
        <f t="shared" si="10"/>
        <v>22200</v>
      </c>
      <c r="J37" s="170">
        <v>12</v>
      </c>
      <c r="K37" s="36">
        <f t="shared" si="11"/>
        <v>22200</v>
      </c>
      <c r="L37" s="170">
        <v>12</v>
      </c>
      <c r="M37" s="36">
        <f t="shared" si="12"/>
        <v>22200</v>
      </c>
      <c r="N37" s="170">
        <v>12</v>
      </c>
      <c r="O37" s="36">
        <f t="shared" si="13"/>
        <v>22200</v>
      </c>
      <c r="P37" s="170">
        <v>12</v>
      </c>
      <c r="Q37" s="54">
        <f t="shared" si="14"/>
        <v>22200</v>
      </c>
      <c r="R37" s="50">
        <f t="shared" si="15"/>
        <v>60</v>
      </c>
      <c r="S37" s="49">
        <f t="shared" si="8"/>
        <v>111000</v>
      </c>
    </row>
    <row r="38" spans="1:19" x14ac:dyDescent="0.35">
      <c r="A38" s="165"/>
      <c r="B38" s="168" t="s">
        <v>187</v>
      </c>
      <c r="C38" s="168" t="s">
        <v>185</v>
      </c>
      <c r="D38" s="169" t="s">
        <v>180</v>
      </c>
      <c r="E38" s="36">
        <f>VLOOKUP(C38,Lists!$Q$5:$U$25, MATCH(D38,Lists!$Q$4:$U$4,0),0)</f>
        <v>615</v>
      </c>
      <c r="F38" s="170">
        <v>0</v>
      </c>
      <c r="G38" s="48">
        <f t="shared" si="9"/>
        <v>0</v>
      </c>
      <c r="H38" s="170">
        <v>12</v>
      </c>
      <c r="I38" s="36">
        <f t="shared" si="10"/>
        <v>7380</v>
      </c>
      <c r="J38" s="170">
        <v>12</v>
      </c>
      <c r="K38" s="36">
        <f t="shared" si="11"/>
        <v>7380</v>
      </c>
      <c r="L38" s="170">
        <v>12</v>
      </c>
      <c r="M38" s="36">
        <f t="shared" si="12"/>
        <v>7380</v>
      </c>
      <c r="N38" s="170">
        <v>12</v>
      </c>
      <c r="O38" s="36">
        <f t="shared" si="13"/>
        <v>7380</v>
      </c>
      <c r="P38" s="170">
        <v>12</v>
      </c>
      <c r="Q38" s="54">
        <f t="shared" si="14"/>
        <v>7380</v>
      </c>
      <c r="R38" s="50">
        <f t="shared" si="15"/>
        <v>60</v>
      </c>
      <c r="S38" s="49">
        <f t="shared" si="8"/>
        <v>36900</v>
      </c>
    </row>
    <row r="39" spans="1:19" x14ac:dyDescent="0.35">
      <c r="A39" s="165"/>
      <c r="B39" s="168" t="s">
        <v>187</v>
      </c>
      <c r="C39" s="168" t="s">
        <v>185</v>
      </c>
      <c r="D39" s="169" t="s">
        <v>180</v>
      </c>
      <c r="E39" s="36">
        <f>VLOOKUP(C39,Lists!$Q$5:$U$25, MATCH(D39,Lists!$Q$4:$U$4,0),0)</f>
        <v>615</v>
      </c>
      <c r="F39" s="170">
        <v>0</v>
      </c>
      <c r="G39" s="48">
        <f t="shared" si="9"/>
        <v>0</v>
      </c>
      <c r="H39" s="170">
        <v>12</v>
      </c>
      <c r="I39" s="36">
        <f t="shared" si="10"/>
        <v>7380</v>
      </c>
      <c r="J39" s="170">
        <v>12</v>
      </c>
      <c r="K39" s="36">
        <f t="shared" si="11"/>
        <v>7380</v>
      </c>
      <c r="L39" s="170">
        <v>12</v>
      </c>
      <c r="M39" s="36">
        <f t="shared" si="12"/>
        <v>7380</v>
      </c>
      <c r="N39" s="170">
        <v>12</v>
      </c>
      <c r="O39" s="36">
        <f t="shared" si="13"/>
        <v>7380</v>
      </c>
      <c r="P39" s="170">
        <v>12</v>
      </c>
      <c r="Q39" s="54">
        <f t="shared" si="14"/>
        <v>7380</v>
      </c>
      <c r="R39" s="50">
        <f t="shared" si="15"/>
        <v>60</v>
      </c>
      <c r="S39" s="49">
        <f t="shared" si="8"/>
        <v>36900</v>
      </c>
    </row>
    <row r="40" spans="1:19" x14ac:dyDescent="0.35">
      <c r="A40" s="165"/>
      <c r="B40" s="168" t="s">
        <v>187</v>
      </c>
      <c r="C40" s="168" t="s">
        <v>185</v>
      </c>
      <c r="D40" s="169" t="s">
        <v>180</v>
      </c>
      <c r="E40" s="36">
        <f>VLOOKUP(C40,Lists!$Q$5:$U$25, MATCH(D40,Lists!$Q$4:$U$4,0),0)</f>
        <v>615</v>
      </c>
      <c r="F40" s="170">
        <v>0</v>
      </c>
      <c r="G40" s="48">
        <f t="shared" si="9"/>
        <v>0</v>
      </c>
      <c r="H40" s="170"/>
      <c r="I40" s="36">
        <f t="shared" si="10"/>
        <v>0</v>
      </c>
      <c r="J40" s="170"/>
      <c r="K40" s="36">
        <f t="shared" si="11"/>
        <v>0</v>
      </c>
      <c r="L40" s="170"/>
      <c r="M40" s="36">
        <f t="shared" si="12"/>
        <v>0</v>
      </c>
      <c r="N40" s="170"/>
      <c r="O40" s="36">
        <f t="shared" si="13"/>
        <v>0</v>
      </c>
      <c r="P40" s="170"/>
      <c r="Q40" s="54">
        <f t="shared" si="14"/>
        <v>0</v>
      </c>
      <c r="R40" s="50">
        <f t="shared" si="15"/>
        <v>0</v>
      </c>
      <c r="S40" s="49">
        <f t="shared" si="8"/>
        <v>0</v>
      </c>
    </row>
    <row r="41" spans="1:19" x14ac:dyDescent="0.35">
      <c r="A41" s="165"/>
      <c r="B41" s="168" t="s">
        <v>187</v>
      </c>
      <c r="C41" s="168" t="s">
        <v>185</v>
      </c>
      <c r="D41" s="169" t="s">
        <v>254</v>
      </c>
      <c r="E41" s="36">
        <f>VLOOKUP(C41,Lists!$Q$5:$U$25, MATCH(D41,Lists!$Q$4:$U$4,0),0)</f>
        <v>1300</v>
      </c>
      <c r="F41" s="170">
        <v>0</v>
      </c>
      <c r="G41" s="48">
        <f t="shared" si="9"/>
        <v>0</v>
      </c>
      <c r="H41" s="170"/>
      <c r="I41" s="36">
        <f t="shared" si="10"/>
        <v>0</v>
      </c>
      <c r="J41" s="170"/>
      <c r="K41" s="36">
        <f t="shared" si="11"/>
        <v>0</v>
      </c>
      <c r="L41" s="170"/>
      <c r="M41" s="36">
        <f t="shared" si="12"/>
        <v>0</v>
      </c>
      <c r="N41" s="170"/>
      <c r="O41" s="36">
        <f t="shared" si="13"/>
        <v>0</v>
      </c>
      <c r="P41" s="170"/>
      <c r="Q41" s="54">
        <f t="shared" si="14"/>
        <v>0</v>
      </c>
      <c r="R41" s="50">
        <f t="shared" si="15"/>
        <v>0</v>
      </c>
      <c r="S41" s="49">
        <f t="shared" si="8"/>
        <v>0</v>
      </c>
    </row>
    <row r="42" spans="1:19" x14ac:dyDescent="0.35">
      <c r="A42" s="165"/>
      <c r="B42" s="168" t="s">
        <v>187</v>
      </c>
      <c r="C42" s="168" t="s">
        <v>185</v>
      </c>
      <c r="D42" s="169" t="s">
        <v>180</v>
      </c>
      <c r="E42" s="36">
        <f>VLOOKUP(C42,Lists!$Q$5:$U$25, MATCH(D42,Lists!$Q$4:$U$4,0),0)</f>
        <v>615</v>
      </c>
      <c r="F42" s="170">
        <v>0</v>
      </c>
      <c r="G42" s="48">
        <f t="shared" si="9"/>
        <v>0</v>
      </c>
      <c r="H42" s="170"/>
      <c r="I42" s="36">
        <f t="shared" si="10"/>
        <v>0</v>
      </c>
      <c r="J42" s="170"/>
      <c r="K42" s="36">
        <f t="shared" si="11"/>
        <v>0</v>
      </c>
      <c r="L42" s="170"/>
      <c r="M42" s="36">
        <f t="shared" si="12"/>
        <v>0</v>
      </c>
      <c r="N42" s="170"/>
      <c r="O42" s="36">
        <f t="shared" si="13"/>
        <v>0</v>
      </c>
      <c r="P42" s="170"/>
      <c r="Q42" s="54">
        <f t="shared" si="14"/>
        <v>0</v>
      </c>
      <c r="R42" s="50">
        <f t="shared" si="15"/>
        <v>0</v>
      </c>
      <c r="S42" s="49">
        <f t="shared" si="8"/>
        <v>0</v>
      </c>
    </row>
    <row r="43" spans="1:19" x14ac:dyDescent="0.35">
      <c r="A43" s="165"/>
      <c r="B43" s="168" t="s">
        <v>187</v>
      </c>
      <c r="C43" s="168" t="s">
        <v>185</v>
      </c>
      <c r="D43" s="169" t="s">
        <v>180</v>
      </c>
      <c r="E43" s="36">
        <f>VLOOKUP(C43,Lists!$Q$5:$U$25, MATCH(D43,Lists!$Q$4:$U$4,0),0)</f>
        <v>615</v>
      </c>
      <c r="F43" s="170">
        <v>0</v>
      </c>
      <c r="G43" s="48">
        <f t="shared" si="9"/>
        <v>0</v>
      </c>
      <c r="H43" s="170"/>
      <c r="I43" s="36">
        <f t="shared" si="10"/>
        <v>0</v>
      </c>
      <c r="J43" s="170"/>
      <c r="K43" s="36">
        <f t="shared" si="11"/>
        <v>0</v>
      </c>
      <c r="L43" s="170"/>
      <c r="M43" s="36">
        <f t="shared" si="12"/>
        <v>0</v>
      </c>
      <c r="N43" s="170"/>
      <c r="O43" s="36">
        <f t="shared" si="13"/>
        <v>0</v>
      </c>
      <c r="P43" s="170"/>
      <c r="Q43" s="54">
        <f t="shared" si="14"/>
        <v>0</v>
      </c>
      <c r="R43" s="50">
        <f t="shared" si="15"/>
        <v>0</v>
      </c>
      <c r="S43" s="49">
        <f t="shared" si="8"/>
        <v>0</v>
      </c>
    </row>
    <row r="44" spans="1:19" x14ac:dyDescent="0.35">
      <c r="A44" s="165"/>
      <c r="B44" s="168" t="s">
        <v>187</v>
      </c>
      <c r="C44" s="168" t="s">
        <v>185</v>
      </c>
      <c r="D44" s="169" t="s">
        <v>180</v>
      </c>
      <c r="E44" s="36">
        <f>VLOOKUP(C44,Lists!$Q$5:$U$25, MATCH(D44,Lists!$Q$4:$U$4,0),0)</f>
        <v>615</v>
      </c>
      <c r="F44" s="170">
        <v>0</v>
      </c>
      <c r="G44" s="48">
        <f t="shared" si="9"/>
        <v>0</v>
      </c>
      <c r="H44" s="170"/>
      <c r="I44" s="36">
        <f t="shared" si="10"/>
        <v>0</v>
      </c>
      <c r="J44" s="170"/>
      <c r="K44" s="36">
        <f t="shared" si="11"/>
        <v>0</v>
      </c>
      <c r="L44" s="170"/>
      <c r="M44" s="36">
        <f t="shared" si="12"/>
        <v>0</v>
      </c>
      <c r="N44" s="170"/>
      <c r="O44" s="36">
        <f t="shared" si="13"/>
        <v>0</v>
      </c>
      <c r="P44" s="170"/>
      <c r="Q44" s="54">
        <f t="shared" si="14"/>
        <v>0</v>
      </c>
      <c r="R44" s="50">
        <f t="shared" si="15"/>
        <v>0</v>
      </c>
      <c r="S44" s="49">
        <f t="shared" si="8"/>
        <v>0</v>
      </c>
    </row>
    <row r="45" spans="1:19" x14ac:dyDescent="0.35">
      <c r="A45" s="165"/>
      <c r="B45" s="168" t="s">
        <v>170</v>
      </c>
      <c r="C45" s="168" t="s">
        <v>171</v>
      </c>
      <c r="D45" s="169" t="s">
        <v>172</v>
      </c>
      <c r="E45" s="36">
        <f>VLOOKUP(C45,Lists!$Q$5:$U$25, MATCH(D45,Lists!$Q$4:$U$4,0),0)</f>
        <v>2900</v>
      </c>
      <c r="F45" s="170">
        <v>0</v>
      </c>
      <c r="G45" s="48">
        <f t="shared" si="9"/>
        <v>0</v>
      </c>
      <c r="H45" s="170"/>
      <c r="I45" s="36">
        <f t="shared" si="10"/>
        <v>0</v>
      </c>
      <c r="J45" s="170"/>
      <c r="K45" s="36">
        <f t="shared" si="11"/>
        <v>0</v>
      </c>
      <c r="L45" s="170"/>
      <c r="M45" s="36">
        <f t="shared" si="12"/>
        <v>0</v>
      </c>
      <c r="N45" s="170"/>
      <c r="O45" s="36">
        <f t="shared" si="13"/>
        <v>0</v>
      </c>
      <c r="P45" s="170"/>
      <c r="Q45" s="54">
        <f t="shared" si="14"/>
        <v>0</v>
      </c>
      <c r="R45" s="50">
        <f t="shared" si="15"/>
        <v>0</v>
      </c>
      <c r="S45" s="49">
        <f t="shared" si="8"/>
        <v>0</v>
      </c>
    </row>
    <row r="46" spans="1:19" x14ac:dyDescent="0.35">
      <c r="A46" s="165"/>
      <c r="B46" s="168" t="s">
        <v>198</v>
      </c>
      <c r="C46" s="168" t="s">
        <v>199</v>
      </c>
      <c r="D46" s="169" t="s">
        <v>172</v>
      </c>
      <c r="E46" s="36">
        <f>VLOOKUP(C46,Lists!$Q$5:$U$25, MATCH(D46,Lists!$Q$4:$U$4,0),0)</f>
        <v>2400</v>
      </c>
      <c r="F46" s="170">
        <v>0</v>
      </c>
      <c r="G46" s="48">
        <f t="shared" si="9"/>
        <v>0</v>
      </c>
      <c r="H46" s="170">
        <v>1</v>
      </c>
      <c r="I46" s="36">
        <f t="shared" si="10"/>
        <v>2400</v>
      </c>
      <c r="J46" s="170"/>
      <c r="K46" s="36">
        <f t="shared" si="11"/>
        <v>0</v>
      </c>
      <c r="L46" s="170"/>
      <c r="M46" s="36">
        <f t="shared" si="12"/>
        <v>0</v>
      </c>
      <c r="N46" s="170"/>
      <c r="O46" s="36">
        <f t="shared" si="13"/>
        <v>0</v>
      </c>
      <c r="P46" s="170"/>
      <c r="Q46" s="54">
        <f t="shared" si="14"/>
        <v>0</v>
      </c>
      <c r="R46" s="50">
        <f t="shared" si="15"/>
        <v>1</v>
      </c>
      <c r="S46" s="49">
        <f t="shared" si="8"/>
        <v>2400</v>
      </c>
    </row>
    <row r="47" spans="1:19" x14ac:dyDescent="0.35">
      <c r="A47" s="165"/>
      <c r="B47" s="168" t="s">
        <v>196</v>
      </c>
      <c r="C47" s="168" t="s">
        <v>197</v>
      </c>
      <c r="D47" s="169" t="s">
        <v>172</v>
      </c>
      <c r="E47" s="36">
        <f>VLOOKUP(C47,Lists!$Q$5:$U$25, MATCH(D47,Lists!$Q$4:$U$4,0),0)</f>
        <v>1986</v>
      </c>
      <c r="F47" s="170">
        <v>0</v>
      </c>
      <c r="G47" s="48">
        <f t="shared" si="9"/>
        <v>0</v>
      </c>
      <c r="H47" s="170"/>
      <c r="I47" s="36">
        <f t="shared" si="10"/>
        <v>0</v>
      </c>
      <c r="J47" s="170"/>
      <c r="K47" s="36">
        <f t="shared" si="11"/>
        <v>0</v>
      </c>
      <c r="L47" s="170"/>
      <c r="M47" s="36">
        <f t="shared" si="12"/>
        <v>0</v>
      </c>
      <c r="N47" s="170"/>
      <c r="O47" s="36">
        <f t="shared" si="13"/>
        <v>0</v>
      </c>
      <c r="P47" s="170"/>
      <c r="Q47" s="54">
        <f t="shared" si="14"/>
        <v>0</v>
      </c>
      <c r="R47" s="50">
        <f t="shared" si="15"/>
        <v>0</v>
      </c>
      <c r="S47" s="49">
        <f t="shared" si="8"/>
        <v>0</v>
      </c>
    </row>
    <row r="48" spans="1:19" x14ac:dyDescent="0.35">
      <c r="A48" s="165"/>
      <c r="B48" s="168" t="s">
        <v>196</v>
      </c>
      <c r="C48" s="168" t="s">
        <v>197</v>
      </c>
      <c r="D48" s="169" t="s">
        <v>172</v>
      </c>
      <c r="E48" s="36">
        <f>VLOOKUP(C48,Lists!$Q$5:$U$25, MATCH(D48,Lists!$Q$4:$U$4,0),0)</f>
        <v>1986</v>
      </c>
      <c r="F48" s="170">
        <v>0</v>
      </c>
      <c r="G48" s="48">
        <f t="shared" si="9"/>
        <v>0</v>
      </c>
      <c r="H48" s="170"/>
      <c r="I48" s="36">
        <f t="shared" si="10"/>
        <v>0</v>
      </c>
      <c r="J48" s="170"/>
      <c r="K48" s="36">
        <f t="shared" si="11"/>
        <v>0</v>
      </c>
      <c r="L48" s="170"/>
      <c r="M48" s="36">
        <f t="shared" si="12"/>
        <v>0</v>
      </c>
      <c r="N48" s="170"/>
      <c r="O48" s="36">
        <f t="shared" si="13"/>
        <v>0</v>
      </c>
      <c r="P48" s="170"/>
      <c r="Q48" s="54">
        <f t="shared" si="14"/>
        <v>0</v>
      </c>
      <c r="R48" s="50">
        <f t="shared" si="15"/>
        <v>0</v>
      </c>
      <c r="S48" s="49">
        <f t="shared" si="8"/>
        <v>0</v>
      </c>
    </row>
    <row r="49" spans="1:19" x14ac:dyDescent="0.35">
      <c r="A49" s="165"/>
      <c r="B49" s="168" t="s">
        <v>196</v>
      </c>
      <c r="C49" s="168" t="s">
        <v>197</v>
      </c>
      <c r="D49" s="169" t="s">
        <v>172</v>
      </c>
      <c r="E49" s="36">
        <f>VLOOKUP(C49,Lists!$Q$5:$U$25, MATCH(D49,Lists!$Q$4:$U$4,0),0)</f>
        <v>1986</v>
      </c>
      <c r="F49" s="170">
        <v>0</v>
      </c>
      <c r="G49" s="52">
        <f t="shared" si="9"/>
        <v>0</v>
      </c>
      <c r="H49" s="170"/>
      <c r="I49" s="36">
        <f t="shared" si="10"/>
        <v>0</v>
      </c>
      <c r="J49" s="170"/>
      <c r="K49" s="36">
        <f t="shared" si="11"/>
        <v>0</v>
      </c>
      <c r="L49" s="170"/>
      <c r="M49" s="36">
        <f t="shared" si="12"/>
        <v>0</v>
      </c>
      <c r="N49" s="170"/>
      <c r="O49" s="36">
        <f t="shared" si="13"/>
        <v>0</v>
      </c>
      <c r="P49" s="170"/>
      <c r="Q49" s="54">
        <f t="shared" si="14"/>
        <v>0</v>
      </c>
      <c r="R49" s="50">
        <f t="shared" si="15"/>
        <v>0</v>
      </c>
      <c r="S49" s="49">
        <f t="shared" si="8"/>
        <v>0</v>
      </c>
    </row>
    <row r="50" spans="1:19" x14ac:dyDescent="0.35">
      <c r="A50" s="165"/>
      <c r="B50" s="168" t="s">
        <v>196</v>
      </c>
      <c r="C50" s="168" t="s">
        <v>197</v>
      </c>
      <c r="D50" s="169" t="s">
        <v>172</v>
      </c>
      <c r="E50" s="36">
        <f>VLOOKUP(C50,Lists!$Q$5:$U$25, MATCH(D50,Lists!$Q$4:$U$4,0),0)</f>
        <v>1986</v>
      </c>
      <c r="F50" s="170">
        <v>0</v>
      </c>
      <c r="G50" s="53">
        <f t="shared" si="9"/>
        <v>0</v>
      </c>
      <c r="H50" s="170"/>
      <c r="I50" s="36">
        <f t="shared" si="10"/>
        <v>0</v>
      </c>
      <c r="J50" s="170"/>
      <c r="K50" s="36">
        <f t="shared" si="11"/>
        <v>0</v>
      </c>
      <c r="L50" s="170"/>
      <c r="M50" s="36">
        <f t="shared" si="12"/>
        <v>0</v>
      </c>
      <c r="N50" s="170"/>
      <c r="O50" s="36">
        <f t="shared" si="13"/>
        <v>0</v>
      </c>
      <c r="P50" s="170"/>
      <c r="Q50" s="54">
        <f t="shared" si="14"/>
        <v>0</v>
      </c>
      <c r="R50" s="50">
        <f t="shared" si="15"/>
        <v>0</v>
      </c>
      <c r="S50" s="49">
        <f t="shared" si="8"/>
        <v>0</v>
      </c>
    </row>
    <row r="51" spans="1:19" x14ac:dyDescent="0.35">
      <c r="A51" s="165"/>
      <c r="B51" s="168" t="s">
        <v>196</v>
      </c>
      <c r="C51" s="168" t="s">
        <v>197</v>
      </c>
      <c r="D51" s="169" t="s">
        <v>172</v>
      </c>
      <c r="E51" s="36">
        <f>VLOOKUP(C51,Lists!$Q$5:$U$25, MATCH(D51,Lists!$Q$4:$U$4,0),0)</f>
        <v>1986</v>
      </c>
      <c r="F51" s="170">
        <v>0</v>
      </c>
      <c r="G51" s="53">
        <f t="shared" si="9"/>
        <v>0</v>
      </c>
      <c r="H51" s="170"/>
      <c r="I51" s="36">
        <f t="shared" si="10"/>
        <v>0</v>
      </c>
      <c r="J51" s="170"/>
      <c r="K51" s="36">
        <f t="shared" si="11"/>
        <v>0</v>
      </c>
      <c r="L51" s="170"/>
      <c r="M51" s="36">
        <f t="shared" si="12"/>
        <v>0</v>
      </c>
      <c r="N51" s="170"/>
      <c r="O51" s="36">
        <f t="shared" si="13"/>
        <v>0</v>
      </c>
      <c r="P51" s="170"/>
      <c r="Q51" s="54">
        <f t="shared" si="14"/>
        <v>0</v>
      </c>
      <c r="R51" s="50">
        <f t="shared" si="15"/>
        <v>0</v>
      </c>
      <c r="S51" s="49">
        <f t="shared" si="8"/>
        <v>0</v>
      </c>
    </row>
    <row r="52" spans="1:19" x14ac:dyDescent="0.35">
      <c r="A52" s="165"/>
      <c r="B52" s="168" t="s">
        <v>196</v>
      </c>
      <c r="C52" s="168" t="s">
        <v>197</v>
      </c>
      <c r="D52" s="169" t="s">
        <v>172</v>
      </c>
      <c r="E52" s="36">
        <f>VLOOKUP(C52,Lists!$Q$5:$U$25, MATCH(D52,Lists!$Q$4:$U$4,0),0)</f>
        <v>1986</v>
      </c>
      <c r="F52" s="170">
        <v>0</v>
      </c>
      <c r="G52" s="53">
        <f t="shared" si="9"/>
        <v>0</v>
      </c>
      <c r="H52" s="170"/>
      <c r="I52" s="36">
        <f t="shared" si="10"/>
        <v>0</v>
      </c>
      <c r="J52" s="170"/>
      <c r="K52" s="36">
        <f t="shared" si="11"/>
        <v>0</v>
      </c>
      <c r="L52" s="170"/>
      <c r="M52" s="36">
        <f t="shared" si="12"/>
        <v>0</v>
      </c>
      <c r="N52" s="170"/>
      <c r="O52" s="36">
        <f t="shared" si="13"/>
        <v>0</v>
      </c>
      <c r="P52" s="170"/>
      <c r="Q52" s="54">
        <f t="shared" si="14"/>
        <v>0</v>
      </c>
      <c r="R52" s="50">
        <f t="shared" si="15"/>
        <v>0</v>
      </c>
      <c r="S52" s="49">
        <f t="shared" si="8"/>
        <v>0</v>
      </c>
    </row>
    <row r="53" spans="1:19" x14ac:dyDescent="0.35">
      <c r="A53" s="166"/>
      <c r="B53" s="168" t="s">
        <v>196</v>
      </c>
      <c r="C53" s="168" t="s">
        <v>197</v>
      </c>
      <c r="D53" s="169" t="s">
        <v>172</v>
      </c>
      <c r="E53" s="36">
        <f>VLOOKUP(C53,Lists!$Q$5:$U$25, MATCH(D53,Lists!$Q$4:$U$4,0),0)</f>
        <v>1986</v>
      </c>
      <c r="F53" s="170">
        <v>0</v>
      </c>
      <c r="G53" s="53">
        <f t="shared" si="9"/>
        <v>0</v>
      </c>
      <c r="H53" s="170"/>
      <c r="I53" s="36">
        <f t="shared" si="10"/>
        <v>0</v>
      </c>
      <c r="J53" s="170"/>
      <c r="K53" s="36">
        <f t="shared" si="11"/>
        <v>0</v>
      </c>
      <c r="L53" s="170"/>
      <c r="M53" s="36">
        <f t="shared" si="12"/>
        <v>0</v>
      </c>
      <c r="N53" s="170"/>
      <c r="O53" s="36">
        <f t="shared" si="13"/>
        <v>0</v>
      </c>
      <c r="P53" s="170"/>
      <c r="Q53" s="54">
        <f t="shared" si="14"/>
        <v>0</v>
      </c>
      <c r="R53" s="50">
        <f t="shared" si="15"/>
        <v>0</v>
      </c>
      <c r="S53" s="49">
        <f t="shared" si="8"/>
        <v>0</v>
      </c>
    </row>
    <row r="54" spans="1:19" ht="27.65" customHeight="1" thickBot="1" x14ac:dyDescent="0.4">
      <c r="A54" s="535" t="s">
        <v>258</v>
      </c>
      <c r="B54" s="535"/>
      <c r="C54" s="535"/>
      <c r="D54" s="535"/>
      <c r="E54" s="536"/>
      <c r="F54" s="62"/>
      <c r="G54" s="61">
        <f>SUM(G31:G53)</f>
        <v>0</v>
      </c>
      <c r="H54" s="63"/>
      <c r="I54" s="61">
        <f>SUM(I31:I53)</f>
        <v>132296</v>
      </c>
      <c r="J54" s="63"/>
      <c r="K54" s="61">
        <f>SUM(K31:K53)</f>
        <v>127826</v>
      </c>
      <c r="L54" s="63"/>
      <c r="M54" s="61">
        <f>SUM(M31:M53)</f>
        <v>172826</v>
      </c>
      <c r="N54" s="63"/>
      <c r="O54" s="61">
        <f>SUM(O31:O53)</f>
        <v>118826</v>
      </c>
      <c r="P54" s="63"/>
      <c r="Q54" s="61">
        <f>SUM(Q31:Q53)</f>
        <v>118826</v>
      </c>
      <c r="R54" s="64"/>
      <c r="S54" s="60">
        <f>SUM(S31:S53)</f>
        <v>670600</v>
      </c>
    </row>
    <row r="55" spans="1:19" ht="8.15" customHeight="1" thickTop="1" x14ac:dyDescent="0.35">
      <c r="A55" s="55"/>
      <c r="B55" s="56"/>
      <c r="C55" s="56"/>
      <c r="D55" s="56"/>
      <c r="E55" s="57"/>
      <c r="F55" s="58"/>
      <c r="G55" s="57"/>
      <c r="H55" s="58"/>
      <c r="I55" s="56"/>
      <c r="J55" s="58"/>
      <c r="K55" s="56"/>
      <c r="L55" s="58"/>
      <c r="M55" s="56"/>
      <c r="N55" s="58"/>
      <c r="O55" s="56"/>
      <c r="P55" s="58"/>
      <c r="Q55" s="59"/>
      <c r="R55" s="56"/>
      <c r="S55" s="56"/>
    </row>
    <row r="56" spans="1:19" ht="28.25" customHeight="1" x14ac:dyDescent="0.45">
      <c r="A56" s="530" t="s">
        <v>379</v>
      </c>
      <c r="B56" s="531"/>
      <c r="C56" s="531"/>
      <c r="D56" s="531"/>
      <c r="E56" s="531"/>
      <c r="F56" s="531"/>
      <c r="G56" s="531"/>
      <c r="H56" s="531"/>
      <c r="I56" s="531"/>
      <c r="J56" s="531"/>
      <c r="K56" s="531"/>
      <c r="L56" s="531"/>
      <c r="M56" s="531"/>
      <c r="N56" s="531"/>
      <c r="O56" s="531"/>
      <c r="P56" s="531"/>
      <c r="Q56" s="531"/>
      <c r="R56" s="533"/>
      <c r="S56" s="534"/>
    </row>
    <row r="57" spans="1:19" ht="54" customHeight="1" thickBot="1" x14ac:dyDescent="0.4">
      <c r="A57" s="535" t="s">
        <v>260</v>
      </c>
      <c r="B57" s="535"/>
      <c r="C57" s="535"/>
      <c r="D57" s="535"/>
      <c r="E57" s="536"/>
      <c r="F57" s="523">
        <f>G54-G28</f>
        <v>-615</v>
      </c>
      <c r="G57" s="523"/>
      <c r="H57" s="523">
        <f>I54-I28</f>
        <v>11070</v>
      </c>
      <c r="I57" s="523"/>
      <c r="J57" s="523">
        <f>K54-K28</f>
        <v>9000</v>
      </c>
      <c r="K57" s="523"/>
      <c r="L57" s="523">
        <f>M54-M28</f>
        <v>54000</v>
      </c>
      <c r="M57" s="523"/>
      <c r="N57" s="523">
        <f>O54-O28</f>
        <v>0</v>
      </c>
      <c r="O57" s="523"/>
      <c r="P57" s="523">
        <f>Q54-Q28</f>
        <v>0</v>
      </c>
      <c r="Q57" s="523"/>
      <c r="R57" s="537">
        <f>S54-S28</f>
        <v>73455</v>
      </c>
      <c r="S57" s="538"/>
    </row>
    <row r="58" spans="1:19" ht="15" thickTop="1" x14ac:dyDescent="0.35"/>
    <row r="60" spans="1:19" ht="34.25" customHeight="1" x14ac:dyDescent="0.45">
      <c r="A60" s="519" t="s">
        <v>380</v>
      </c>
      <c r="B60" s="520"/>
      <c r="C60" s="520"/>
      <c r="D60" s="520"/>
      <c r="E60" s="520"/>
      <c r="F60" s="520"/>
      <c r="G60" s="520"/>
      <c r="H60" s="520"/>
      <c r="I60" s="520"/>
      <c r="J60" s="520"/>
      <c r="K60" s="520"/>
      <c r="L60" s="520"/>
      <c r="M60" s="520"/>
      <c r="N60" s="520"/>
      <c r="O60" s="520"/>
      <c r="P60" s="520"/>
      <c r="Q60" s="520"/>
      <c r="R60" s="521"/>
      <c r="S60" s="522"/>
    </row>
    <row r="61" spans="1:19" ht="22.25" customHeight="1" x14ac:dyDescent="0.45">
      <c r="A61" s="530" t="s">
        <v>381</v>
      </c>
      <c r="B61" s="533"/>
      <c r="C61" s="533"/>
      <c r="D61" s="533"/>
      <c r="E61" s="533"/>
      <c r="F61" s="531"/>
      <c r="G61" s="531"/>
      <c r="H61" s="531"/>
      <c r="I61" s="531"/>
      <c r="J61" s="531"/>
      <c r="K61" s="531"/>
      <c r="L61" s="531"/>
      <c r="M61" s="531"/>
      <c r="N61" s="531"/>
      <c r="O61" s="531"/>
      <c r="P61" s="531"/>
      <c r="Q61" s="531"/>
      <c r="R61" s="533"/>
      <c r="S61" s="534"/>
    </row>
    <row r="62" spans="1:19" x14ac:dyDescent="0.35">
      <c r="A62" s="106" t="s">
        <v>262</v>
      </c>
      <c r="B62" s="527" t="s">
        <v>213</v>
      </c>
      <c r="C62" s="527"/>
      <c r="D62" s="527"/>
      <c r="E62" s="527"/>
      <c r="F62" s="96"/>
      <c r="G62" s="96"/>
      <c r="H62" s="96"/>
      <c r="I62" s="96"/>
      <c r="J62" s="96"/>
      <c r="K62" s="96"/>
      <c r="L62" s="96"/>
      <c r="M62" s="96"/>
      <c r="N62" s="96"/>
      <c r="O62" s="96"/>
      <c r="P62" s="96"/>
      <c r="Q62" s="96"/>
      <c r="R62" s="96"/>
      <c r="S62" s="97"/>
    </row>
    <row r="63" spans="1:19" ht="15.5" x14ac:dyDescent="0.35">
      <c r="A63" s="524" t="s">
        <v>96</v>
      </c>
      <c r="B63" s="525"/>
      <c r="C63" s="525"/>
      <c r="D63" s="525"/>
      <c r="E63" s="525"/>
      <c r="F63" s="525"/>
      <c r="G63" s="525"/>
      <c r="H63" s="525"/>
      <c r="I63" s="525"/>
      <c r="J63" s="525"/>
      <c r="K63" s="525"/>
      <c r="L63" s="525"/>
      <c r="M63" s="525"/>
      <c r="N63" s="525"/>
      <c r="O63" s="525"/>
      <c r="P63" s="525"/>
      <c r="Q63" s="525"/>
      <c r="R63" s="525"/>
      <c r="S63" s="526"/>
    </row>
    <row r="64" spans="1:19" ht="15.5" x14ac:dyDescent="0.35">
      <c r="A64" s="102" t="s">
        <v>97</v>
      </c>
      <c r="B64" s="516"/>
      <c r="C64" s="517"/>
      <c r="D64" s="517"/>
      <c r="E64" s="518"/>
      <c r="F64" s="515">
        <v>2</v>
      </c>
      <c r="G64" s="515"/>
      <c r="H64" s="515">
        <v>0</v>
      </c>
      <c r="I64" s="515"/>
      <c r="J64" s="515">
        <v>0</v>
      </c>
      <c r="K64" s="515"/>
      <c r="L64" s="515">
        <v>0</v>
      </c>
      <c r="M64" s="515"/>
      <c r="N64" s="515">
        <v>0</v>
      </c>
      <c r="O64" s="515"/>
      <c r="P64" s="515">
        <v>2</v>
      </c>
      <c r="Q64" s="515"/>
      <c r="R64" s="539">
        <f t="shared" ref="R64:R69" si="16">SUM(F64:Q64)</f>
        <v>4</v>
      </c>
      <c r="S64" s="540"/>
    </row>
    <row r="65" spans="1:19" ht="15.5" x14ac:dyDescent="0.35">
      <c r="A65" s="102" t="s">
        <v>98</v>
      </c>
      <c r="B65" s="541" t="s">
        <v>382</v>
      </c>
      <c r="C65" s="542"/>
      <c r="D65" s="542"/>
      <c r="E65" s="543"/>
      <c r="F65" s="515">
        <v>0</v>
      </c>
      <c r="G65" s="515"/>
      <c r="H65" s="515">
        <f t="shared" ref="H65:P65" si="17">330665*3.673</f>
        <v>1214532.5449999999</v>
      </c>
      <c r="I65" s="515"/>
      <c r="J65" s="515">
        <f t="shared" si="17"/>
        <v>1214532.5449999999</v>
      </c>
      <c r="K65" s="515"/>
      <c r="L65" s="515"/>
      <c r="M65" s="515">
        <f t="shared" si="17"/>
        <v>1214532.5449999999</v>
      </c>
      <c r="N65" s="515">
        <f t="shared" si="17"/>
        <v>1214532.5449999999</v>
      </c>
      <c r="O65" s="515"/>
      <c r="P65" s="515">
        <f t="shared" si="17"/>
        <v>1214532.5449999999</v>
      </c>
      <c r="Q65" s="515"/>
      <c r="R65" s="539">
        <f t="shared" si="16"/>
        <v>6072662.7249999996</v>
      </c>
      <c r="S65" s="540"/>
    </row>
    <row r="66" spans="1:19" ht="15.5" x14ac:dyDescent="0.35">
      <c r="A66" s="102" t="s">
        <v>99</v>
      </c>
      <c r="B66" s="516"/>
      <c r="C66" s="517"/>
      <c r="D66" s="517"/>
      <c r="E66" s="518"/>
      <c r="F66" s="515">
        <v>0</v>
      </c>
      <c r="G66" s="515"/>
      <c r="H66" s="515">
        <v>0</v>
      </c>
      <c r="I66" s="515"/>
      <c r="J66" s="515">
        <v>0</v>
      </c>
      <c r="K66" s="515"/>
      <c r="L66" s="515"/>
      <c r="M66" s="515">
        <v>0</v>
      </c>
      <c r="N66" s="515">
        <v>0</v>
      </c>
      <c r="O66" s="515"/>
      <c r="P66" s="515">
        <v>0</v>
      </c>
      <c r="Q66" s="515"/>
      <c r="R66" s="539">
        <f t="shared" si="16"/>
        <v>0</v>
      </c>
      <c r="S66" s="540"/>
    </row>
    <row r="67" spans="1:19" ht="15.5" x14ac:dyDescent="0.35">
      <c r="A67" s="102" t="s">
        <v>100</v>
      </c>
      <c r="B67" s="516" t="s">
        <v>383</v>
      </c>
      <c r="C67" s="517"/>
      <c r="D67" s="517"/>
      <c r="E67" s="518"/>
      <c r="F67" s="513"/>
      <c r="G67" s="514"/>
      <c r="H67" s="513">
        <v>15000</v>
      </c>
      <c r="I67" s="514"/>
      <c r="J67" s="513"/>
      <c r="K67" s="514"/>
      <c r="L67" s="513"/>
      <c r="M67" s="514"/>
      <c r="N67" s="513">
        <v>2</v>
      </c>
      <c r="O67" s="514"/>
      <c r="P67" s="513"/>
      <c r="Q67" s="514"/>
      <c r="R67" s="539">
        <f t="shared" si="16"/>
        <v>15002</v>
      </c>
      <c r="S67" s="540"/>
    </row>
    <row r="68" spans="1:19" ht="15.5" x14ac:dyDescent="0.35">
      <c r="A68" s="102" t="s">
        <v>101</v>
      </c>
      <c r="B68" s="516"/>
      <c r="C68" s="517"/>
      <c r="D68" s="517"/>
      <c r="E68" s="518"/>
      <c r="F68" s="513"/>
      <c r="G68" s="514"/>
      <c r="H68" s="513"/>
      <c r="I68" s="514"/>
      <c r="J68" s="513"/>
      <c r="K68" s="514"/>
      <c r="L68" s="513"/>
      <c r="M68" s="514"/>
      <c r="N68" s="513"/>
      <c r="O68" s="514"/>
      <c r="P68" s="513"/>
      <c r="Q68" s="514"/>
      <c r="R68" s="539">
        <f t="shared" si="16"/>
        <v>0</v>
      </c>
      <c r="S68" s="540"/>
    </row>
    <row r="69" spans="1:19" ht="15.5" x14ac:dyDescent="0.35">
      <c r="A69" s="102" t="s">
        <v>102</v>
      </c>
      <c r="B69" s="516"/>
      <c r="C69" s="517"/>
      <c r="D69" s="517"/>
      <c r="E69" s="518"/>
      <c r="F69" s="513"/>
      <c r="G69" s="514"/>
      <c r="H69" s="513"/>
      <c r="I69" s="514"/>
      <c r="J69" s="513"/>
      <c r="K69" s="514"/>
      <c r="L69" s="513"/>
      <c r="M69" s="514"/>
      <c r="N69" s="513"/>
      <c r="O69" s="514"/>
      <c r="P69" s="513"/>
      <c r="Q69" s="514"/>
      <c r="R69" s="539">
        <f t="shared" si="16"/>
        <v>0</v>
      </c>
      <c r="S69" s="540"/>
    </row>
    <row r="70" spans="1:19" ht="15.5" x14ac:dyDescent="0.35">
      <c r="A70" s="103" t="s">
        <v>103</v>
      </c>
      <c r="B70" s="104"/>
      <c r="C70" s="104"/>
      <c r="D70" s="104"/>
      <c r="E70" s="104"/>
      <c r="F70" s="104"/>
      <c r="G70" s="104"/>
      <c r="H70" s="104"/>
      <c r="I70" s="104"/>
      <c r="J70" s="104"/>
      <c r="K70" s="104"/>
      <c r="L70" s="104"/>
      <c r="M70" s="104"/>
      <c r="N70" s="104"/>
      <c r="O70" s="104"/>
      <c r="P70" s="104"/>
      <c r="Q70" s="104"/>
      <c r="R70" s="104"/>
      <c r="S70" s="105"/>
    </row>
    <row r="71" spans="1:19" ht="15.5" x14ac:dyDescent="0.35">
      <c r="A71" s="102" t="s">
        <v>104</v>
      </c>
      <c r="B71" s="516"/>
      <c r="C71" s="517"/>
      <c r="D71" s="517"/>
      <c r="E71" s="518"/>
      <c r="F71" s="515"/>
      <c r="G71" s="515"/>
      <c r="H71" s="515">
        <v>0</v>
      </c>
      <c r="I71" s="515"/>
      <c r="J71" s="515">
        <v>0</v>
      </c>
      <c r="K71" s="515"/>
      <c r="L71" s="515"/>
      <c r="M71" s="515">
        <v>0</v>
      </c>
      <c r="N71" s="515">
        <v>0</v>
      </c>
      <c r="O71" s="515"/>
      <c r="P71" s="515">
        <v>0</v>
      </c>
      <c r="Q71" s="515"/>
      <c r="R71" s="539">
        <f t="shared" ref="R71:R76" si="18">SUM(F71:Q71)</f>
        <v>0</v>
      </c>
      <c r="S71" s="540"/>
    </row>
    <row r="72" spans="1:19" ht="15.65" customHeight="1" x14ac:dyDescent="0.35">
      <c r="A72" s="102" t="s">
        <v>105</v>
      </c>
      <c r="B72" s="552"/>
      <c r="C72" s="553" t="s">
        <v>384</v>
      </c>
      <c r="D72" s="553"/>
      <c r="E72" s="554"/>
      <c r="F72" s="515"/>
      <c r="G72" s="515"/>
      <c r="H72" s="515">
        <f t="shared" ref="H72:P72" si="19">485000*3.673</f>
        <v>1781405</v>
      </c>
      <c r="I72" s="515"/>
      <c r="J72" s="515">
        <f t="shared" si="19"/>
        <v>1781405</v>
      </c>
      <c r="K72" s="515"/>
      <c r="L72" s="515">
        <f t="shared" si="19"/>
        <v>1781405</v>
      </c>
      <c r="M72" s="515"/>
      <c r="N72" s="515">
        <f t="shared" si="19"/>
        <v>1781405</v>
      </c>
      <c r="O72" s="515"/>
      <c r="P72" s="515">
        <f t="shared" si="19"/>
        <v>1781405</v>
      </c>
      <c r="Q72" s="515"/>
      <c r="R72" s="539">
        <f t="shared" si="18"/>
        <v>8907025</v>
      </c>
      <c r="S72" s="540"/>
    </row>
    <row r="73" spans="1:19" ht="15.5" x14ac:dyDescent="0.35">
      <c r="A73" s="72" t="s">
        <v>125</v>
      </c>
      <c r="B73" s="516"/>
      <c r="C73" s="517"/>
      <c r="D73" s="517"/>
      <c r="E73" s="518"/>
      <c r="F73" s="515">
        <v>2</v>
      </c>
      <c r="G73" s="515"/>
      <c r="H73" s="515">
        <v>0</v>
      </c>
      <c r="I73" s="515"/>
      <c r="J73" s="515">
        <v>0</v>
      </c>
      <c r="K73" s="515"/>
      <c r="L73" s="515">
        <v>0</v>
      </c>
      <c r="M73" s="515"/>
      <c r="N73" s="515">
        <v>0</v>
      </c>
      <c r="O73" s="515"/>
      <c r="P73" s="515">
        <v>0</v>
      </c>
      <c r="Q73" s="515"/>
      <c r="R73" s="539">
        <f t="shared" si="18"/>
        <v>2</v>
      </c>
      <c r="S73" s="540"/>
    </row>
    <row r="74" spans="1:19" ht="15.5" x14ac:dyDescent="0.35">
      <c r="A74" s="72" t="s">
        <v>107</v>
      </c>
      <c r="B74" s="516"/>
      <c r="C74" s="517"/>
      <c r="D74" s="517"/>
      <c r="E74" s="518"/>
      <c r="F74" s="513"/>
      <c r="G74" s="514"/>
      <c r="H74" s="513"/>
      <c r="I74" s="514"/>
      <c r="J74" s="513"/>
      <c r="K74" s="514"/>
      <c r="L74" s="513"/>
      <c r="M74" s="514"/>
      <c r="N74" s="513"/>
      <c r="O74" s="514"/>
      <c r="P74" s="513"/>
      <c r="Q74" s="514"/>
      <c r="R74" s="539">
        <f t="shared" si="18"/>
        <v>0</v>
      </c>
      <c r="S74" s="540"/>
    </row>
    <row r="75" spans="1:19" ht="15.5" x14ac:dyDescent="0.35">
      <c r="A75" s="72" t="s">
        <v>108</v>
      </c>
      <c r="B75" s="516"/>
      <c r="C75" s="517"/>
      <c r="D75" s="517"/>
      <c r="E75" s="518"/>
      <c r="F75" s="513"/>
      <c r="G75" s="514"/>
      <c r="H75" s="513"/>
      <c r="I75" s="514"/>
      <c r="J75" s="513"/>
      <c r="K75" s="514"/>
      <c r="L75" s="513"/>
      <c r="M75" s="514"/>
      <c r="N75" s="513"/>
      <c r="O75" s="514"/>
      <c r="P75" s="513"/>
      <c r="Q75" s="514"/>
      <c r="R75" s="539">
        <f t="shared" si="18"/>
        <v>0</v>
      </c>
      <c r="S75" s="540"/>
    </row>
    <row r="76" spans="1:19" ht="15.5" x14ac:dyDescent="0.35">
      <c r="A76" s="72" t="s">
        <v>109</v>
      </c>
      <c r="B76" s="516"/>
      <c r="C76" s="517"/>
      <c r="D76" s="517"/>
      <c r="E76" s="518"/>
      <c r="F76" s="513"/>
      <c r="G76" s="514"/>
      <c r="H76" s="513"/>
      <c r="I76" s="514"/>
      <c r="J76" s="513"/>
      <c r="K76" s="514"/>
      <c r="L76" s="513"/>
      <c r="M76" s="514"/>
      <c r="N76" s="513"/>
      <c r="O76" s="514"/>
      <c r="P76" s="513"/>
      <c r="Q76" s="514"/>
      <c r="R76" s="539">
        <f t="shared" si="18"/>
        <v>0</v>
      </c>
      <c r="S76" s="540"/>
    </row>
    <row r="77" spans="1:19" ht="15.5" x14ac:dyDescent="0.35">
      <c r="A77" s="103" t="s">
        <v>385</v>
      </c>
      <c r="B77" s="104"/>
      <c r="C77" s="104"/>
      <c r="D77" s="104"/>
      <c r="E77" s="104"/>
      <c r="F77" s="104"/>
      <c r="G77" s="104"/>
      <c r="H77" s="104"/>
      <c r="I77" s="104"/>
      <c r="J77" s="104"/>
      <c r="K77" s="104"/>
      <c r="L77" s="104"/>
      <c r="M77" s="104"/>
      <c r="N77" s="104"/>
      <c r="O77" s="104"/>
      <c r="P77" s="104"/>
      <c r="Q77" s="104"/>
      <c r="R77" s="104"/>
      <c r="S77" s="105"/>
    </row>
    <row r="78" spans="1:19" ht="15.5" x14ac:dyDescent="0.35">
      <c r="A78" s="72" t="s">
        <v>127</v>
      </c>
      <c r="B78" s="516" t="s">
        <v>127</v>
      </c>
      <c r="C78" s="517" t="s">
        <v>386</v>
      </c>
      <c r="D78" s="517"/>
      <c r="E78" s="518"/>
      <c r="F78" s="544">
        <f>G28</f>
        <v>615</v>
      </c>
      <c r="G78" s="545"/>
      <c r="H78" s="544">
        <f>I28</f>
        <v>121226</v>
      </c>
      <c r="I78" s="545"/>
      <c r="J78" s="544">
        <f>K28</f>
        <v>118826</v>
      </c>
      <c r="K78" s="545"/>
      <c r="L78" s="544">
        <f>M28</f>
        <v>118826</v>
      </c>
      <c r="M78" s="545"/>
      <c r="N78" s="544">
        <f>O28</f>
        <v>118826</v>
      </c>
      <c r="O78" s="545"/>
      <c r="P78" s="544">
        <f>Q28</f>
        <v>118826</v>
      </c>
      <c r="Q78" s="545"/>
      <c r="R78" s="539">
        <f>SUM(F78:Q78)</f>
        <v>597145</v>
      </c>
      <c r="S78" s="540"/>
    </row>
    <row r="79" spans="1:19" ht="15.5" x14ac:dyDescent="0.35">
      <c r="A79" s="72" t="s">
        <v>91</v>
      </c>
      <c r="B79" s="516"/>
      <c r="C79" s="517"/>
      <c r="D79" s="517"/>
      <c r="E79" s="518"/>
      <c r="F79" s="513"/>
      <c r="G79" s="514"/>
      <c r="H79" s="513"/>
      <c r="I79" s="514"/>
      <c r="J79" s="513"/>
      <c r="K79" s="514"/>
      <c r="L79" s="513"/>
      <c r="M79" s="514"/>
      <c r="N79" s="513"/>
      <c r="O79" s="514"/>
      <c r="P79" s="513"/>
      <c r="Q79" s="514"/>
      <c r="R79" s="539">
        <f>SUM(F79:Q79)</f>
        <v>0</v>
      </c>
      <c r="S79" s="540"/>
    </row>
    <row r="80" spans="1:19" ht="15.5" x14ac:dyDescent="0.35">
      <c r="A80" s="72" t="s">
        <v>92</v>
      </c>
      <c r="B80" s="516"/>
      <c r="C80" s="517"/>
      <c r="D80" s="517"/>
      <c r="E80" s="518"/>
      <c r="F80" s="513"/>
      <c r="G80" s="514"/>
      <c r="H80" s="513"/>
      <c r="I80" s="514"/>
      <c r="J80" s="513"/>
      <c r="K80" s="514"/>
      <c r="L80" s="513"/>
      <c r="M80" s="514"/>
      <c r="N80" s="513">
        <v>3</v>
      </c>
      <c r="O80" s="514"/>
      <c r="P80" s="513"/>
      <c r="Q80" s="514"/>
      <c r="R80" s="539">
        <f>SUM(F80:Q80)</f>
        <v>3</v>
      </c>
      <c r="S80" s="540"/>
    </row>
    <row r="81" spans="1:19" ht="15.5" x14ac:dyDescent="0.35">
      <c r="A81" s="72" t="s">
        <v>128</v>
      </c>
      <c r="B81" s="516" t="s">
        <v>387</v>
      </c>
      <c r="C81" s="517"/>
      <c r="D81" s="517"/>
      <c r="E81" s="518"/>
      <c r="F81" s="515">
        <v>0</v>
      </c>
      <c r="G81" s="515"/>
      <c r="H81" s="515">
        <v>0</v>
      </c>
      <c r="I81" s="515"/>
      <c r="J81" s="515">
        <v>0</v>
      </c>
      <c r="K81" s="515"/>
      <c r="L81" s="515">
        <v>0</v>
      </c>
      <c r="M81" s="515"/>
      <c r="N81" s="515">
        <v>0</v>
      </c>
      <c r="O81" s="515"/>
      <c r="P81" s="515">
        <v>0</v>
      </c>
      <c r="Q81" s="515"/>
      <c r="R81" s="539">
        <f>SUM(F81:Q81)</f>
        <v>0</v>
      </c>
      <c r="S81" s="540"/>
    </row>
    <row r="82" spans="1:19" ht="22.25" customHeight="1" thickBot="1" x14ac:dyDescent="0.4">
      <c r="A82" s="561" t="s">
        <v>263</v>
      </c>
      <c r="B82" s="562"/>
      <c r="C82" s="562"/>
      <c r="D82" s="562"/>
      <c r="E82" s="563"/>
      <c r="F82" s="559">
        <f>SUM(F64:G81)</f>
        <v>619</v>
      </c>
      <c r="G82" s="560"/>
      <c r="H82" s="559">
        <f>SUM(H64:I81)</f>
        <v>3132163.5449999999</v>
      </c>
      <c r="I82" s="560"/>
      <c r="J82" s="559">
        <f>SUM(J64:K81)</f>
        <v>3114763.5449999999</v>
      </c>
      <c r="K82" s="560"/>
      <c r="L82" s="559">
        <f>SUM(L64:M81)</f>
        <v>3114763.5449999999</v>
      </c>
      <c r="M82" s="560"/>
      <c r="N82" s="559">
        <f>SUM(N64:O81)</f>
        <v>3114768.5449999999</v>
      </c>
      <c r="O82" s="560"/>
      <c r="P82" s="559">
        <f>SUM(P64:Q81)</f>
        <v>3114765.5449999999</v>
      </c>
      <c r="Q82" s="560"/>
      <c r="R82" s="550">
        <f>SUM(F82:Q82)</f>
        <v>15591843.725</v>
      </c>
      <c r="S82" s="551"/>
    </row>
    <row r="83" spans="1:19" ht="30.65" customHeight="1" thickTop="1" x14ac:dyDescent="0.35">
      <c r="A83" s="555" t="s">
        <v>388</v>
      </c>
      <c r="B83" s="556"/>
      <c r="C83" s="556"/>
      <c r="D83" s="556"/>
      <c r="E83" s="556"/>
      <c r="F83" s="557"/>
      <c r="G83" s="557"/>
      <c r="H83" s="557"/>
      <c r="I83" s="557"/>
      <c r="J83" s="557"/>
      <c r="K83" s="557"/>
      <c r="L83" s="557"/>
      <c r="M83" s="557"/>
      <c r="N83" s="557"/>
      <c r="O83" s="557"/>
      <c r="P83" s="557"/>
      <c r="Q83" s="557"/>
      <c r="R83" s="556"/>
      <c r="S83" s="558"/>
    </row>
    <row r="84" spans="1:19" x14ac:dyDescent="0.35">
      <c r="A84" s="106" t="s">
        <v>262</v>
      </c>
      <c r="B84" s="527" t="s">
        <v>213</v>
      </c>
      <c r="C84" s="527"/>
      <c r="D84" s="527"/>
      <c r="E84" s="527"/>
      <c r="F84" s="96"/>
      <c r="G84" s="96"/>
      <c r="H84" s="96"/>
      <c r="I84" s="96"/>
      <c r="J84" s="96"/>
      <c r="K84" s="96"/>
      <c r="L84" s="96"/>
      <c r="M84" s="96"/>
      <c r="N84" s="96"/>
      <c r="O84" s="96"/>
      <c r="P84" s="96"/>
      <c r="Q84" s="96"/>
      <c r="R84" s="96"/>
      <c r="S84" s="97"/>
    </row>
    <row r="85" spans="1:19" ht="15.5" x14ac:dyDescent="0.35">
      <c r="A85" s="524" t="s">
        <v>96</v>
      </c>
      <c r="B85" s="525"/>
      <c r="C85" s="525"/>
      <c r="D85" s="525"/>
      <c r="E85" s="525"/>
      <c r="F85" s="525"/>
      <c r="G85" s="525"/>
      <c r="H85" s="525"/>
      <c r="I85" s="525"/>
      <c r="J85" s="525"/>
      <c r="K85" s="525"/>
      <c r="L85" s="525"/>
      <c r="M85" s="525"/>
      <c r="N85" s="525"/>
      <c r="O85" s="525"/>
      <c r="P85" s="525"/>
      <c r="Q85" s="525"/>
      <c r="R85" s="525"/>
      <c r="S85" s="526"/>
    </row>
    <row r="86" spans="1:19" ht="15.5" x14ac:dyDescent="0.35">
      <c r="A86" s="102" t="s">
        <v>97</v>
      </c>
      <c r="B86" s="516"/>
      <c r="C86" s="517"/>
      <c r="D86" s="517"/>
      <c r="E86" s="518"/>
      <c r="F86" s="515">
        <v>2</v>
      </c>
      <c r="G86" s="515"/>
      <c r="H86" s="515">
        <v>0</v>
      </c>
      <c r="I86" s="515"/>
      <c r="J86" s="515">
        <v>0</v>
      </c>
      <c r="K86" s="515"/>
      <c r="L86" s="515">
        <v>0</v>
      </c>
      <c r="M86" s="515"/>
      <c r="N86" s="515">
        <v>0</v>
      </c>
      <c r="O86" s="515"/>
      <c r="P86" s="515">
        <v>0</v>
      </c>
      <c r="Q86" s="515"/>
      <c r="R86" s="539">
        <f t="shared" ref="R86:R91" si="20">SUM(F86:Q86)</f>
        <v>2</v>
      </c>
      <c r="S86" s="540"/>
    </row>
    <row r="87" spans="1:19" ht="15.5" x14ac:dyDescent="0.35">
      <c r="A87" s="102" t="s">
        <v>98</v>
      </c>
      <c r="B87" s="541" t="s">
        <v>382</v>
      </c>
      <c r="C87" s="542"/>
      <c r="D87" s="542"/>
      <c r="E87" s="543"/>
      <c r="F87" s="515">
        <v>2</v>
      </c>
      <c r="G87" s="515"/>
      <c r="H87" s="515">
        <f t="shared" ref="H87:P87" si="21">330665*3.673</f>
        <v>1214532.5449999999</v>
      </c>
      <c r="I87" s="515"/>
      <c r="J87" s="515">
        <v>1000000</v>
      </c>
      <c r="K87" s="515"/>
      <c r="L87" s="515"/>
      <c r="M87" s="515">
        <f t="shared" si="21"/>
        <v>1214532.5449999999</v>
      </c>
      <c r="N87" s="515">
        <f t="shared" si="21"/>
        <v>1214532.5449999999</v>
      </c>
      <c r="O87" s="515"/>
      <c r="P87" s="515">
        <f t="shared" si="21"/>
        <v>1214532.5449999999</v>
      </c>
      <c r="Q87" s="515"/>
      <c r="R87" s="539">
        <f t="shared" si="20"/>
        <v>5858132.1799999997</v>
      </c>
      <c r="S87" s="540"/>
    </row>
    <row r="88" spans="1:19" ht="15.5" x14ac:dyDescent="0.35">
      <c r="A88" s="102" t="s">
        <v>99</v>
      </c>
      <c r="B88" s="516"/>
      <c r="C88" s="517"/>
      <c r="D88" s="517"/>
      <c r="E88" s="518"/>
      <c r="F88" s="515">
        <v>2</v>
      </c>
      <c r="G88" s="515"/>
      <c r="H88" s="515">
        <v>0</v>
      </c>
      <c r="I88" s="515"/>
      <c r="J88" s="515">
        <v>0</v>
      </c>
      <c r="K88" s="515"/>
      <c r="L88" s="515"/>
      <c r="M88" s="515">
        <v>0</v>
      </c>
      <c r="N88" s="515">
        <v>0</v>
      </c>
      <c r="O88" s="515"/>
      <c r="P88" s="515">
        <v>0</v>
      </c>
      <c r="Q88" s="515"/>
      <c r="R88" s="539">
        <f t="shared" si="20"/>
        <v>2</v>
      </c>
      <c r="S88" s="540"/>
    </row>
    <row r="89" spans="1:19" ht="15.5" x14ac:dyDescent="0.35">
      <c r="A89" s="102" t="s">
        <v>100</v>
      </c>
      <c r="B89" s="516"/>
      <c r="C89" s="517"/>
      <c r="D89" s="517"/>
      <c r="E89" s="518"/>
      <c r="F89" s="513"/>
      <c r="G89" s="514"/>
      <c r="H89" s="513">
        <v>0</v>
      </c>
      <c r="I89" s="514"/>
      <c r="J89" s="513"/>
      <c r="K89" s="514"/>
      <c r="L89" s="513"/>
      <c r="M89" s="514"/>
      <c r="N89" s="513">
        <v>2</v>
      </c>
      <c r="O89" s="514"/>
      <c r="P89" s="513"/>
      <c r="Q89" s="514"/>
      <c r="R89" s="539">
        <f t="shared" si="20"/>
        <v>2</v>
      </c>
      <c r="S89" s="540"/>
    </row>
    <row r="90" spans="1:19" ht="15.5" x14ac:dyDescent="0.35">
      <c r="A90" s="102" t="s">
        <v>101</v>
      </c>
      <c r="B90" s="516"/>
      <c r="C90" s="517"/>
      <c r="D90" s="517"/>
      <c r="E90" s="518"/>
      <c r="F90" s="513"/>
      <c r="G90" s="514"/>
      <c r="H90" s="513"/>
      <c r="I90" s="514"/>
      <c r="J90" s="513"/>
      <c r="K90" s="514"/>
      <c r="L90" s="513"/>
      <c r="M90" s="514"/>
      <c r="N90" s="513"/>
      <c r="O90" s="514"/>
      <c r="P90" s="513"/>
      <c r="Q90" s="514"/>
      <c r="R90" s="539">
        <f t="shared" si="20"/>
        <v>0</v>
      </c>
      <c r="S90" s="540"/>
    </row>
    <row r="91" spans="1:19" ht="15.5" x14ac:dyDescent="0.35">
      <c r="A91" s="102" t="s">
        <v>102</v>
      </c>
      <c r="B91" s="516"/>
      <c r="C91" s="517"/>
      <c r="D91" s="517"/>
      <c r="E91" s="518"/>
      <c r="F91" s="513"/>
      <c r="G91" s="514"/>
      <c r="H91" s="513"/>
      <c r="I91" s="514"/>
      <c r="J91" s="513"/>
      <c r="K91" s="514"/>
      <c r="L91" s="513"/>
      <c r="M91" s="514"/>
      <c r="N91" s="513"/>
      <c r="O91" s="514"/>
      <c r="P91" s="513"/>
      <c r="Q91" s="514"/>
      <c r="R91" s="539">
        <f t="shared" si="20"/>
        <v>0</v>
      </c>
      <c r="S91" s="540"/>
    </row>
    <row r="92" spans="1:19" ht="15.5" x14ac:dyDescent="0.35">
      <c r="A92" s="103" t="s">
        <v>103</v>
      </c>
      <c r="B92" s="104"/>
      <c r="C92" s="104"/>
      <c r="D92" s="104"/>
      <c r="E92" s="104"/>
      <c r="F92" s="104"/>
      <c r="G92" s="104"/>
      <c r="H92" s="104"/>
      <c r="I92" s="104"/>
      <c r="J92" s="104"/>
      <c r="K92" s="104"/>
      <c r="L92" s="104"/>
      <c r="M92" s="104"/>
      <c r="N92" s="104"/>
      <c r="O92" s="104"/>
      <c r="P92" s="104"/>
      <c r="Q92" s="104"/>
      <c r="R92" s="104"/>
      <c r="S92" s="105"/>
    </row>
    <row r="93" spans="1:19" ht="15.5" x14ac:dyDescent="0.35">
      <c r="A93" s="102" t="s">
        <v>104</v>
      </c>
      <c r="B93" s="516"/>
      <c r="C93" s="517"/>
      <c r="D93" s="517"/>
      <c r="E93" s="518"/>
      <c r="F93" s="515">
        <v>1000</v>
      </c>
      <c r="G93" s="515"/>
      <c r="H93" s="515">
        <v>0</v>
      </c>
      <c r="I93" s="515"/>
      <c r="J93" s="515">
        <v>0</v>
      </c>
      <c r="K93" s="515"/>
      <c r="L93" s="515"/>
      <c r="M93" s="515">
        <v>0</v>
      </c>
      <c r="N93" s="515">
        <v>0</v>
      </c>
      <c r="O93" s="515"/>
      <c r="P93" s="515">
        <v>0</v>
      </c>
      <c r="Q93" s="515"/>
      <c r="R93" s="539">
        <f t="shared" ref="R93:R98" si="22">SUM(F93:Q93)</f>
        <v>1000</v>
      </c>
      <c r="S93" s="540"/>
    </row>
    <row r="94" spans="1:19" ht="15.65" customHeight="1" x14ac:dyDescent="0.35">
      <c r="A94" s="102" t="s">
        <v>105</v>
      </c>
      <c r="B94" s="552"/>
      <c r="C94" s="553" t="s">
        <v>384</v>
      </c>
      <c r="D94" s="553"/>
      <c r="E94" s="554"/>
      <c r="F94" s="515">
        <v>2000</v>
      </c>
      <c r="G94" s="515"/>
      <c r="H94" s="515">
        <f t="shared" ref="H94:P94" si="23">485000*3.673</f>
        <v>1781405</v>
      </c>
      <c r="I94" s="515"/>
      <c r="J94" s="515">
        <f t="shared" si="23"/>
        <v>1781405</v>
      </c>
      <c r="K94" s="515"/>
      <c r="L94" s="515">
        <f t="shared" si="23"/>
        <v>1781405</v>
      </c>
      <c r="M94" s="515"/>
      <c r="N94" s="515">
        <f t="shared" si="23"/>
        <v>1781405</v>
      </c>
      <c r="O94" s="515"/>
      <c r="P94" s="515">
        <f t="shared" si="23"/>
        <v>1781405</v>
      </c>
      <c r="Q94" s="515"/>
      <c r="R94" s="539">
        <f t="shared" si="22"/>
        <v>8909025</v>
      </c>
      <c r="S94" s="540"/>
    </row>
    <row r="95" spans="1:19" ht="15.5" x14ac:dyDescent="0.35">
      <c r="A95" s="72" t="s">
        <v>125</v>
      </c>
      <c r="B95" s="516"/>
      <c r="C95" s="517"/>
      <c r="D95" s="517"/>
      <c r="E95" s="518"/>
      <c r="F95" s="515">
        <v>1000</v>
      </c>
      <c r="G95" s="515"/>
      <c r="H95" s="515">
        <v>0</v>
      </c>
      <c r="I95" s="515"/>
      <c r="J95" s="515">
        <v>0</v>
      </c>
      <c r="K95" s="515"/>
      <c r="L95" s="515">
        <v>0</v>
      </c>
      <c r="M95" s="515"/>
      <c r="N95" s="515">
        <v>0</v>
      </c>
      <c r="O95" s="515"/>
      <c r="P95" s="515">
        <v>0</v>
      </c>
      <c r="Q95" s="515"/>
      <c r="R95" s="539">
        <f t="shared" si="22"/>
        <v>1000</v>
      </c>
      <c r="S95" s="540"/>
    </row>
    <row r="96" spans="1:19" ht="15.5" x14ac:dyDescent="0.35">
      <c r="A96" s="72" t="s">
        <v>107</v>
      </c>
      <c r="B96" s="516"/>
      <c r="C96" s="517"/>
      <c r="D96" s="517"/>
      <c r="E96" s="518"/>
      <c r="F96" s="513"/>
      <c r="G96" s="514"/>
      <c r="H96" s="513"/>
      <c r="I96" s="514"/>
      <c r="J96" s="513"/>
      <c r="K96" s="514"/>
      <c r="L96" s="513"/>
      <c r="M96" s="514"/>
      <c r="N96" s="513"/>
      <c r="O96" s="514"/>
      <c r="P96" s="513"/>
      <c r="Q96" s="514"/>
      <c r="R96" s="539">
        <f t="shared" si="22"/>
        <v>0</v>
      </c>
      <c r="S96" s="540"/>
    </row>
    <row r="97" spans="1:19" ht="15.5" x14ac:dyDescent="0.35">
      <c r="A97" s="72" t="s">
        <v>108</v>
      </c>
      <c r="B97" s="516"/>
      <c r="C97" s="517"/>
      <c r="D97" s="517"/>
      <c r="E97" s="518"/>
      <c r="F97" s="513"/>
      <c r="G97" s="514"/>
      <c r="H97" s="513"/>
      <c r="I97" s="514"/>
      <c r="J97" s="513"/>
      <c r="K97" s="514"/>
      <c r="L97" s="513"/>
      <c r="M97" s="514"/>
      <c r="N97" s="513"/>
      <c r="O97" s="514"/>
      <c r="P97" s="513"/>
      <c r="Q97" s="514"/>
      <c r="R97" s="539">
        <f t="shared" si="22"/>
        <v>0</v>
      </c>
      <c r="S97" s="540"/>
    </row>
    <row r="98" spans="1:19" ht="15.5" x14ac:dyDescent="0.35">
      <c r="A98" s="72" t="s">
        <v>109</v>
      </c>
      <c r="B98" s="516"/>
      <c r="C98" s="517"/>
      <c r="D98" s="517"/>
      <c r="E98" s="518"/>
      <c r="F98" s="513"/>
      <c r="G98" s="514"/>
      <c r="H98" s="513"/>
      <c r="I98" s="514"/>
      <c r="J98" s="513"/>
      <c r="K98" s="514"/>
      <c r="L98" s="513"/>
      <c r="M98" s="514"/>
      <c r="N98" s="513"/>
      <c r="O98" s="514"/>
      <c r="P98" s="513"/>
      <c r="Q98" s="514"/>
      <c r="R98" s="539">
        <f t="shared" si="22"/>
        <v>0</v>
      </c>
      <c r="S98" s="540"/>
    </row>
    <row r="99" spans="1:19" ht="15.5" x14ac:dyDescent="0.35">
      <c r="A99" s="103" t="s">
        <v>385</v>
      </c>
      <c r="B99" s="104"/>
      <c r="C99" s="104"/>
      <c r="D99" s="104"/>
      <c r="E99" s="104"/>
      <c r="F99" s="104"/>
      <c r="G99" s="104"/>
      <c r="H99" s="104"/>
      <c r="I99" s="104"/>
      <c r="J99" s="104"/>
      <c r="K99" s="104"/>
      <c r="L99" s="104"/>
      <c r="M99" s="104"/>
      <c r="N99" s="104"/>
      <c r="O99" s="104"/>
      <c r="P99" s="104"/>
      <c r="Q99" s="104"/>
      <c r="R99" s="104"/>
      <c r="S99" s="105"/>
    </row>
    <row r="100" spans="1:19" ht="15.5" x14ac:dyDescent="0.35">
      <c r="A100" s="72" t="s">
        <v>127</v>
      </c>
      <c r="B100" s="516" t="s">
        <v>127</v>
      </c>
      <c r="C100" s="517" t="s">
        <v>386</v>
      </c>
      <c r="D100" s="517"/>
      <c r="E100" s="518"/>
      <c r="F100" s="544">
        <f>G54</f>
        <v>0</v>
      </c>
      <c r="G100" s="545"/>
      <c r="H100" s="544">
        <f>I54</f>
        <v>132296</v>
      </c>
      <c r="I100" s="545"/>
      <c r="J100" s="544">
        <f>K54</f>
        <v>127826</v>
      </c>
      <c r="K100" s="545"/>
      <c r="L100" s="544">
        <f>M54</f>
        <v>172826</v>
      </c>
      <c r="M100" s="545"/>
      <c r="N100" s="544">
        <f>O54</f>
        <v>118826</v>
      </c>
      <c r="O100" s="545"/>
      <c r="P100" s="544">
        <f>Q54</f>
        <v>118826</v>
      </c>
      <c r="Q100" s="545"/>
      <c r="R100" s="539">
        <f>SUM(F100:Q100)</f>
        <v>670600</v>
      </c>
      <c r="S100" s="540"/>
    </row>
    <row r="101" spans="1:19" ht="15.5" x14ac:dyDescent="0.35">
      <c r="A101" s="72" t="s">
        <v>91</v>
      </c>
      <c r="B101" s="516"/>
      <c r="C101" s="517"/>
      <c r="D101" s="517"/>
      <c r="E101" s="518"/>
      <c r="F101" s="513"/>
      <c r="G101" s="514"/>
      <c r="H101" s="513"/>
      <c r="I101" s="514"/>
      <c r="J101" s="513"/>
      <c r="K101" s="514"/>
      <c r="L101" s="513"/>
      <c r="M101" s="514"/>
      <c r="N101" s="513"/>
      <c r="O101" s="514"/>
      <c r="P101" s="513"/>
      <c r="Q101" s="514"/>
      <c r="R101" s="539">
        <f>SUM(F101:Q101)</f>
        <v>0</v>
      </c>
      <c r="S101" s="540"/>
    </row>
    <row r="102" spans="1:19" ht="15.5" x14ac:dyDescent="0.35">
      <c r="A102" s="72" t="s">
        <v>92</v>
      </c>
      <c r="B102" s="516"/>
      <c r="C102" s="517"/>
      <c r="D102" s="517"/>
      <c r="E102" s="518"/>
      <c r="F102" s="513"/>
      <c r="G102" s="514"/>
      <c r="H102" s="513"/>
      <c r="I102" s="514"/>
      <c r="J102" s="513"/>
      <c r="K102" s="514"/>
      <c r="L102" s="513"/>
      <c r="M102" s="514"/>
      <c r="N102" s="513">
        <v>3</v>
      </c>
      <c r="O102" s="514"/>
      <c r="P102" s="513"/>
      <c r="Q102" s="514"/>
      <c r="R102" s="539">
        <f>SUM(F102:Q102)</f>
        <v>3</v>
      </c>
      <c r="S102" s="540"/>
    </row>
    <row r="103" spans="1:19" ht="15.5" x14ac:dyDescent="0.35">
      <c r="A103" s="72" t="s">
        <v>128</v>
      </c>
      <c r="B103" s="516" t="s">
        <v>387</v>
      </c>
      <c r="C103" s="517"/>
      <c r="D103" s="517"/>
      <c r="E103" s="518"/>
      <c r="F103" s="515">
        <v>0</v>
      </c>
      <c r="G103" s="515"/>
      <c r="H103" s="515">
        <v>0</v>
      </c>
      <c r="I103" s="515"/>
      <c r="J103" s="515">
        <v>0</v>
      </c>
      <c r="K103" s="515"/>
      <c r="L103" s="515">
        <v>0</v>
      </c>
      <c r="M103" s="515"/>
      <c r="N103" s="515">
        <v>0</v>
      </c>
      <c r="O103" s="515"/>
      <c r="P103" s="515">
        <v>0</v>
      </c>
      <c r="Q103" s="515"/>
      <c r="R103" s="539">
        <f>SUM(F103:Q103)</f>
        <v>0</v>
      </c>
      <c r="S103" s="540"/>
    </row>
    <row r="104" spans="1:19" ht="22.25" customHeight="1" thickBot="1" x14ac:dyDescent="0.4">
      <c r="A104" s="561" t="s">
        <v>265</v>
      </c>
      <c r="B104" s="562"/>
      <c r="C104" s="562"/>
      <c r="D104" s="562"/>
      <c r="E104" s="563"/>
      <c r="F104" s="559">
        <f>SUM(F86:G103)</f>
        <v>4006</v>
      </c>
      <c r="G104" s="560"/>
      <c r="H104" s="559">
        <f>SUM(H86:I103)</f>
        <v>3128233.5449999999</v>
      </c>
      <c r="I104" s="560"/>
      <c r="J104" s="559">
        <f>SUM(J86:K103)</f>
        <v>2909231</v>
      </c>
      <c r="K104" s="560"/>
      <c r="L104" s="559">
        <f>SUM(L86:M103)</f>
        <v>3168763.5449999999</v>
      </c>
      <c r="M104" s="560"/>
      <c r="N104" s="559">
        <f>SUM(N86:O103)</f>
        <v>3114768.5449999999</v>
      </c>
      <c r="O104" s="560"/>
      <c r="P104" s="559">
        <f>SUM(P86:Q103)</f>
        <v>3114763.5449999999</v>
      </c>
      <c r="Q104" s="560"/>
      <c r="R104" s="550">
        <f>SUM(F104:Q104)</f>
        <v>15439766.18</v>
      </c>
      <c r="S104" s="551"/>
    </row>
    <row r="105" spans="1:19" ht="30.65" customHeight="1" thickTop="1" x14ac:dyDescent="0.35">
      <c r="A105" s="555" t="s">
        <v>389</v>
      </c>
      <c r="B105" s="556"/>
      <c r="C105" s="556"/>
      <c r="D105" s="556"/>
      <c r="E105" s="556"/>
      <c r="F105" s="557"/>
      <c r="G105" s="557"/>
      <c r="H105" s="557"/>
      <c r="I105" s="557"/>
      <c r="J105" s="557"/>
      <c r="K105" s="557"/>
      <c r="L105" s="557"/>
      <c r="M105" s="557"/>
      <c r="N105" s="557"/>
      <c r="O105" s="557"/>
      <c r="P105" s="557"/>
      <c r="Q105" s="557"/>
      <c r="R105" s="556"/>
      <c r="S105" s="558"/>
    </row>
    <row r="106" spans="1:19" x14ac:dyDescent="0.35">
      <c r="A106" s="106" t="s">
        <v>262</v>
      </c>
      <c r="B106" s="527" t="s">
        <v>213</v>
      </c>
      <c r="C106" s="527"/>
      <c r="D106" s="527"/>
      <c r="E106" s="527"/>
      <c r="F106" s="96"/>
      <c r="G106" s="96"/>
      <c r="H106" s="96"/>
      <c r="I106" s="96"/>
      <c r="J106" s="96"/>
      <c r="K106" s="96"/>
      <c r="L106" s="96"/>
      <c r="M106" s="96"/>
      <c r="N106" s="96"/>
      <c r="O106" s="96"/>
      <c r="P106" s="96"/>
      <c r="Q106" s="96"/>
      <c r="R106" s="96"/>
      <c r="S106" s="97"/>
    </row>
    <row r="107" spans="1:19" ht="15.5" x14ac:dyDescent="0.35">
      <c r="A107" s="524" t="s">
        <v>96</v>
      </c>
      <c r="B107" s="525"/>
      <c r="C107" s="525"/>
      <c r="D107" s="525"/>
      <c r="E107" s="525"/>
      <c r="F107" s="525"/>
      <c r="G107" s="525"/>
      <c r="H107" s="525"/>
      <c r="I107" s="525"/>
      <c r="J107" s="525"/>
      <c r="K107" s="525"/>
      <c r="L107" s="525"/>
      <c r="M107" s="525"/>
      <c r="N107" s="525"/>
      <c r="O107" s="525"/>
      <c r="P107" s="525"/>
      <c r="Q107" s="525"/>
      <c r="R107" s="525"/>
      <c r="S107" s="526"/>
    </row>
    <row r="108" spans="1:19" ht="15.5" x14ac:dyDescent="0.35">
      <c r="A108" s="102" t="s">
        <v>97</v>
      </c>
      <c r="B108" s="171"/>
      <c r="C108" s="172"/>
      <c r="D108" s="172"/>
      <c r="E108" s="173"/>
      <c r="F108" s="564">
        <f t="shared" ref="F108:F113" si="24">F86-F64</f>
        <v>0</v>
      </c>
      <c r="G108" s="564"/>
      <c r="H108" s="564">
        <f t="shared" ref="H108:H113" si="25">H86-H64</f>
        <v>0</v>
      </c>
      <c r="I108" s="564"/>
      <c r="J108" s="564">
        <f t="shared" ref="J108:J113" si="26">J86-J64</f>
        <v>0</v>
      </c>
      <c r="K108" s="564"/>
      <c r="L108" s="564">
        <f t="shared" ref="L108:L113" si="27">L86-L64</f>
        <v>0</v>
      </c>
      <c r="M108" s="564"/>
      <c r="N108" s="564">
        <f t="shared" ref="N108:N113" si="28">N86-N64</f>
        <v>0</v>
      </c>
      <c r="O108" s="564"/>
      <c r="P108" s="564">
        <f t="shared" ref="P108:P113" si="29">P86-P64</f>
        <v>-2</v>
      </c>
      <c r="Q108" s="564"/>
      <c r="R108" s="539">
        <f t="shared" ref="R108:R113" si="30">SUM(F108:Q108)</f>
        <v>-2</v>
      </c>
      <c r="S108" s="540"/>
    </row>
    <row r="109" spans="1:19" ht="15.5" x14ac:dyDescent="0.35">
      <c r="A109" s="102" t="s">
        <v>98</v>
      </c>
      <c r="B109" s="541" t="s">
        <v>382</v>
      </c>
      <c r="C109" s="542"/>
      <c r="D109" s="542"/>
      <c r="E109" s="543"/>
      <c r="F109" s="564">
        <f t="shared" si="24"/>
        <v>2</v>
      </c>
      <c r="G109" s="564"/>
      <c r="H109" s="564">
        <f t="shared" si="25"/>
        <v>0</v>
      </c>
      <c r="I109" s="564"/>
      <c r="J109" s="564">
        <f t="shared" si="26"/>
        <v>-214532.54499999993</v>
      </c>
      <c r="K109" s="564"/>
      <c r="L109" s="564">
        <f t="shared" si="27"/>
        <v>0</v>
      </c>
      <c r="M109" s="564"/>
      <c r="N109" s="564">
        <f t="shared" si="28"/>
        <v>0</v>
      </c>
      <c r="O109" s="564"/>
      <c r="P109" s="564">
        <f t="shared" si="29"/>
        <v>0</v>
      </c>
      <c r="Q109" s="564"/>
      <c r="R109" s="539">
        <f t="shared" si="30"/>
        <v>-214530.54499999993</v>
      </c>
      <c r="S109" s="540"/>
    </row>
    <row r="110" spans="1:19" ht="15.5" x14ac:dyDescent="0.35">
      <c r="A110" s="102" t="s">
        <v>99</v>
      </c>
      <c r="B110" s="516"/>
      <c r="C110" s="517"/>
      <c r="D110" s="517"/>
      <c r="E110" s="518"/>
      <c r="F110" s="564">
        <f t="shared" si="24"/>
        <v>2</v>
      </c>
      <c r="G110" s="564"/>
      <c r="H110" s="564">
        <f t="shared" si="25"/>
        <v>0</v>
      </c>
      <c r="I110" s="564"/>
      <c r="J110" s="564">
        <f t="shared" si="26"/>
        <v>0</v>
      </c>
      <c r="K110" s="564"/>
      <c r="L110" s="564">
        <f t="shared" si="27"/>
        <v>0</v>
      </c>
      <c r="M110" s="564"/>
      <c r="N110" s="564">
        <f t="shared" si="28"/>
        <v>0</v>
      </c>
      <c r="O110" s="564"/>
      <c r="P110" s="564">
        <f t="shared" si="29"/>
        <v>0</v>
      </c>
      <c r="Q110" s="564"/>
      <c r="R110" s="539">
        <f t="shared" si="30"/>
        <v>2</v>
      </c>
      <c r="S110" s="540"/>
    </row>
    <row r="111" spans="1:19" ht="15.5" x14ac:dyDescent="0.35">
      <c r="A111" s="102" t="s">
        <v>100</v>
      </c>
      <c r="B111" s="516"/>
      <c r="C111" s="517"/>
      <c r="D111" s="517"/>
      <c r="E111" s="518"/>
      <c r="F111" s="564">
        <f t="shared" si="24"/>
        <v>0</v>
      </c>
      <c r="G111" s="564"/>
      <c r="H111" s="564">
        <f t="shared" si="25"/>
        <v>-15000</v>
      </c>
      <c r="I111" s="564"/>
      <c r="J111" s="564">
        <f t="shared" si="26"/>
        <v>0</v>
      </c>
      <c r="K111" s="564"/>
      <c r="L111" s="564">
        <f t="shared" si="27"/>
        <v>0</v>
      </c>
      <c r="M111" s="564"/>
      <c r="N111" s="564">
        <f t="shared" si="28"/>
        <v>0</v>
      </c>
      <c r="O111" s="564"/>
      <c r="P111" s="564">
        <f t="shared" si="29"/>
        <v>0</v>
      </c>
      <c r="Q111" s="564"/>
      <c r="R111" s="539">
        <f t="shared" si="30"/>
        <v>-15000</v>
      </c>
      <c r="S111" s="540"/>
    </row>
    <row r="112" spans="1:19" ht="15.5" x14ac:dyDescent="0.35">
      <c r="A112" s="102" t="s">
        <v>101</v>
      </c>
      <c r="B112" s="516"/>
      <c r="C112" s="517"/>
      <c r="D112" s="517"/>
      <c r="E112" s="518"/>
      <c r="F112" s="564">
        <f t="shared" si="24"/>
        <v>0</v>
      </c>
      <c r="G112" s="564"/>
      <c r="H112" s="564">
        <f t="shared" si="25"/>
        <v>0</v>
      </c>
      <c r="I112" s="564"/>
      <c r="J112" s="564">
        <f t="shared" si="26"/>
        <v>0</v>
      </c>
      <c r="K112" s="564"/>
      <c r="L112" s="564">
        <f t="shared" si="27"/>
        <v>0</v>
      </c>
      <c r="M112" s="564"/>
      <c r="N112" s="564">
        <f t="shared" si="28"/>
        <v>0</v>
      </c>
      <c r="O112" s="564"/>
      <c r="P112" s="564">
        <f t="shared" si="29"/>
        <v>0</v>
      </c>
      <c r="Q112" s="564"/>
      <c r="R112" s="539">
        <f t="shared" si="30"/>
        <v>0</v>
      </c>
      <c r="S112" s="540"/>
    </row>
    <row r="113" spans="1:19" ht="15.5" x14ac:dyDescent="0.35">
      <c r="A113" s="102" t="s">
        <v>102</v>
      </c>
      <c r="B113" s="516"/>
      <c r="C113" s="517"/>
      <c r="D113" s="517"/>
      <c r="E113" s="518"/>
      <c r="F113" s="564">
        <f t="shared" si="24"/>
        <v>0</v>
      </c>
      <c r="G113" s="564"/>
      <c r="H113" s="564">
        <f t="shared" si="25"/>
        <v>0</v>
      </c>
      <c r="I113" s="564"/>
      <c r="J113" s="564">
        <f t="shared" si="26"/>
        <v>0</v>
      </c>
      <c r="K113" s="564"/>
      <c r="L113" s="564">
        <f t="shared" si="27"/>
        <v>0</v>
      </c>
      <c r="M113" s="564"/>
      <c r="N113" s="564">
        <f t="shared" si="28"/>
        <v>0</v>
      </c>
      <c r="O113" s="564"/>
      <c r="P113" s="564">
        <f t="shared" si="29"/>
        <v>0</v>
      </c>
      <c r="Q113" s="564"/>
      <c r="R113" s="539">
        <f t="shared" si="30"/>
        <v>0</v>
      </c>
      <c r="S113" s="540"/>
    </row>
    <row r="114" spans="1:19" ht="15.5" x14ac:dyDescent="0.35">
      <c r="A114" s="103" t="s">
        <v>103</v>
      </c>
      <c r="B114" s="104"/>
      <c r="C114" s="104"/>
      <c r="D114" s="104"/>
      <c r="E114" s="104"/>
      <c r="F114" s="104"/>
      <c r="G114" s="104"/>
      <c r="H114" s="104"/>
      <c r="I114" s="104"/>
      <c r="J114" s="104"/>
      <c r="K114" s="104"/>
      <c r="L114" s="104"/>
      <c r="M114" s="104"/>
      <c r="N114" s="104"/>
      <c r="O114" s="104"/>
      <c r="P114" s="104"/>
      <c r="Q114" s="104"/>
      <c r="R114" s="104"/>
      <c r="S114" s="105"/>
    </row>
    <row r="115" spans="1:19" ht="15.5" x14ac:dyDescent="0.35">
      <c r="A115" s="102" t="s">
        <v>104</v>
      </c>
      <c r="B115" s="516"/>
      <c r="C115" s="517"/>
      <c r="D115" s="517"/>
      <c r="E115" s="518"/>
      <c r="F115" s="565">
        <f t="shared" ref="F115:F120" si="31">F93-F71</f>
        <v>1000</v>
      </c>
      <c r="G115" s="565"/>
      <c r="H115" s="565">
        <f t="shared" ref="H115:H120" si="32">H93-H71</f>
        <v>0</v>
      </c>
      <c r="I115" s="565"/>
      <c r="J115" s="565">
        <f t="shared" ref="J115:J120" si="33">J93-J71</f>
        <v>0</v>
      </c>
      <c r="K115" s="565"/>
      <c r="L115" s="565">
        <f t="shared" ref="L115:L120" si="34">L93-L71</f>
        <v>0</v>
      </c>
      <c r="M115" s="565"/>
      <c r="N115" s="565">
        <f t="shared" ref="N115:N120" si="35">N93-N71</f>
        <v>0</v>
      </c>
      <c r="O115" s="565"/>
      <c r="P115" s="565">
        <f t="shared" ref="P115:P120" si="36">P93-P71</f>
        <v>0</v>
      </c>
      <c r="Q115" s="565"/>
      <c r="R115" s="539">
        <f t="shared" ref="R115:R120" si="37">SUM(F115:Q115)</f>
        <v>1000</v>
      </c>
      <c r="S115" s="540"/>
    </row>
    <row r="116" spans="1:19" ht="15.65" customHeight="1" x14ac:dyDescent="0.35">
      <c r="A116" s="102" t="s">
        <v>105</v>
      </c>
      <c r="B116" s="552"/>
      <c r="C116" s="553" t="s">
        <v>384</v>
      </c>
      <c r="D116" s="553"/>
      <c r="E116" s="554"/>
      <c r="F116" s="565">
        <f t="shared" si="31"/>
        <v>2000</v>
      </c>
      <c r="G116" s="565"/>
      <c r="H116" s="565">
        <f t="shared" si="32"/>
        <v>0</v>
      </c>
      <c r="I116" s="565"/>
      <c r="J116" s="565">
        <f t="shared" si="33"/>
        <v>0</v>
      </c>
      <c r="K116" s="565"/>
      <c r="L116" s="565">
        <f t="shared" si="34"/>
        <v>0</v>
      </c>
      <c r="M116" s="565"/>
      <c r="N116" s="565">
        <f t="shared" si="35"/>
        <v>0</v>
      </c>
      <c r="O116" s="565"/>
      <c r="P116" s="565">
        <f t="shared" si="36"/>
        <v>0</v>
      </c>
      <c r="Q116" s="565"/>
      <c r="R116" s="539">
        <f t="shared" si="37"/>
        <v>2000</v>
      </c>
      <c r="S116" s="540"/>
    </row>
    <row r="117" spans="1:19" ht="15.5" x14ac:dyDescent="0.35">
      <c r="A117" s="72" t="s">
        <v>125</v>
      </c>
      <c r="B117" s="516"/>
      <c r="C117" s="517"/>
      <c r="D117" s="517"/>
      <c r="E117" s="518"/>
      <c r="F117" s="565">
        <f t="shared" si="31"/>
        <v>998</v>
      </c>
      <c r="G117" s="565"/>
      <c r="H117" s="565">
        <f t="shared" si="32"/>
        <v>0</v>
      </c>
      <c r="I117" s="565"/>
      <c r="J117" s="565">
        <f t="shared" si="33"/>
        <v>0</v>
      </c>
      <c r="K117" s="565"/>
      <c r="L117" s="565">
        <f t="shared" si="34"/>
        <v>0</v>
      </c>
      <c r="M117" s="565"/>
      <c r="N117" s="565">
        <f t="shared" si="35"/>
        <v>0</v>
      </c>
      <c r="O117" s="565"/>
      <c r="P117" s="565">
        <f t="shared" si="36"/>
        <v>0</v>
      </c>
      <c r="Q117" s="565"/>
      <c r="R117" s="539">
        <f t="shared" si="37"/>
        <v>998</v>
      </c>
      <c r="S117" s="540"/>
    </row>
    <row r="118" spans="1:19" ht="15.5" x14ac:dyDescent="0.35">
      <c r="A118" s="72" t="s">
        <v>107</v>
      </c>
      <c r="B118" s="516"/>
      <c r="C118" s="517"/>
      <c r="D118" s="517"/>
      <c r="E118" s="518"/>
      <c r="F118" s="565">
        <f t="shared" si="31"/>
        <v>0</v>
      </c>
      <c r="G118" s="565"/>
      <c r="H118" s="565">
        <f t="shared" si="32"/>
        <v>0</v>
      </c>
      <c r="I118" s="565"/>
      <c r="J118" s="565">
        <f t="shared" si="33"/>
        <v>0</v>
      </c>
      <c r="K118" s="565"/>
      <c r="L118" s="565">
        <f t="shared" si="34"/>
        <v>0</v>
      </c>
      <c r="M118" s="565"/>
      <c r="N118" s="565">
        <f t="shared" si="35"/>
        <v>0</v>
      </c>
      <c r="O118" s="565"/>
      <c r="P118" s="565">
        <f t="shared" si="36"/>
        <v>0</v>
      </c>
      <c r="Q118" s="565"/>
      <c r="R118" s="539">
        <f t="shared" si="37"/>
        <v>0</v>
      </c>
      <c r="S118" s="540"/>
    </row>
    <row r="119" spans="1:19" ht="15.5" x14ac:dyDescent="0.35">
      <c r="A119" s="72" t="s">
        <v>108</v>
      </c>
      <c r="B119" s="516"/>
      <c r="C119" s="517"/>
      <c r="D119" s="517"/>
      <c r="E119" s="518"/>
      <c r="F119" s="565">
        <f t="shared" si="31"/>
        <v>0</v>
      </c>
      <c r="G119" s="565"/>
      <c r="H119" s="565">
        <f t="shared" si="32"/>
        <v>0</v>
      </c>
      <c r="I119" s="565"/>
      <c r="J119" s="565">
        <f t="shared" si="33"/>
        <v>0</v>
      </c>
      <c r="K119" s="565"/>
      <c r="L119" s="565">
        <f t="shared" si="34"/>
        <v>0</v>
      </c>
      <c r="M119" s="565"/>
      <c r="N119" s="565">
        <f t="shared" si="35"/>
        <v>0</v>
      </c>
      <c r="O119" s="565"/>
      <c r="P119" s="565">
        <f t="shared" si="36"/>
        <v>0</v>
      </c>
      <c r="Q119" s="565"/>
      <c r="R119" s="539">
        <f t="shared" si="37"/>
        <v>0</v>
      </c>
      <c r="S119" s="540"/>
    </row>
    <row r="120" spans="1:19" ht="15.5" x14ac:dyDescent="0.35">
      <c r="A120" s="72" t="s">
        <v>109</v>
      </c>
      <c r="B120" s="516"/>
      <c r="C120" s="517"/>
      <c r="D120" s="517"/>
      <c r="E120" s="518"/>
      <c r="F120" s="565">
        <f t="shared" si="31"/>
        <v>0</v>
      </c>
      <c r="G120" s="565"/>
      <c r="H120" s="565">
        <f t="shared" si="32"/>
        <v>0</v>
      </c>
      <c r="I120" s="565"/>
      <c r="J120" s="565">
        <f t="shared" si="33"/>
        <v>0</v>
      </c>
      <c r="K120" s="565"/>
      <c r="L120" s="565">
        <f t="shared" si="34"/>
        <v>0</v>
      </c>
      <c r="M120" s="565"/>
      <c r="N120" s="565">
        <f t="shared" si="35"/>
        <v>0</v>
      </c>
      <c r="O120" s="565"/>
      <c r="P120" s="565">
        <f t="shared" si="36"/>
        <v>0</v>
      </c>
      <c r="Q120" s="565"/>
      <c r="R120" s="539">
        <f t="shared" si="37"/>
        <v>0</v>
      </c>
      <c r="S120" s="540"/>
    </row>
    <row r="121" spans="1:19" ht="15.5" x14ac:dyDescent="0.35">
      <c r="A121" s="103" t="s">
        <v>385</v>
      </c>
      <c r="B121" s="158"/>
      <c r="C121" s="158"/>
      <c r="D121" s="158"/>
      <c r="E121" s="158"/>
      <c r="F121" s="158"/>
      <c r="G121" s="158"/>
      <c r="H121" s="158"/>
      <c r="I121" s="158"/>
      <c r="J121" s="158"/>
      <c r="K121" s="158"/>
      <c r="L121" s="158"/>
      <c r="M121" s="158"/>
      <c r="N121" s="158"/>
      <c r="O121" s="158"/>
      <c r="P121" s="158"/>
      <c r="Q121" s="158"/>
      <c r="R121" s="104"/>
      <c r="S121" s="105"/>
    </row>
    <row r="122" spans="1:19" ht="15.5" x14ac:dyDescent="0.35">
      <c r="A122" s="72" t="s">
        <v>127</v>
      </c>
      <c r="B122" s="516" t="s">
        <v>127</v>
      </c>
      <c r="C122" s="517" t="s">
        <v>386</v>
      </c>
      <c r="D122" s="517"/>
      <c r="E122" s="518"/>
      <c r="F122" s="566">
        <f>F57</f>
        <v>-615</v>
      </c>
      <c r="G122" s="567"/>
      <c r="H122" s="566">
        <f>H57</f>
        <v>11070</v>
      </c>
      <c r="I122" s="567"/>
      <c r="J122" s="566">
        <f>J57</f>
        <v>9000</v>
      </c>
      <c r="K122" s="567"/>
      <c r="L122" s="566">
        <f>L57</f>
        <v>54000</v>
      </c>
      <c r="M122" s="567"/>
      <c r="N122" s="566">
        <f>N57</f>
        <v>0</v>
      </c>
      <c r="O122" s="567"/>
      <c r="P122" s="566">
        <f>P57</f>
        <v>0</v>
      </c>
      <c r="Q122" s="567"/>
      <c r="R122" s="539">
        <f>SUM(F122:Q122)</f>
        <v>73455</v>
      </c>
      <c r="S122" s="540"/>
    </row>
    <row r="123" spans="1:19" ht="15.5" x14ac:dyDescent="0.35">
      <c r="A123" s="72" t="s">
        <v>91</v>
      </c>
      <c r="B123" s="516"/>
      <c r="C123" s="517"/>
      <c r="D123" s="517"/>
      <c r="E123" s="518"/>
      <c r="F123" s="566">
        <f>F101-F79</f>
        <v>0</v>
      </c>
      <c r="G123" s="567"/>
      <c r="H123" s="566">
        <f>H101-H79</f>
        <v>0</v>
      </c>
      <c r="I123" s="567"/>
      <c r="J123" s="566">
        <f>J101-J79</f>
        <v>0</v>
      </c>
      <c r="K123" s="567"/>
      <c r="L123" s="566">
        <f>L101-L79</f>
        <v>0</v>
      </c>
      <c r="M123" s="567"/>
      <c r="N123" s="566">
        <f>N101-N79</f>
        <v>0</v>
      </c>
      <c r="O123" s="567"/>
      <c r="P123" s="566">
        <f>P101-P79</f>
        <v>0</v>
      </c>
      <c r="Q123" s="567"/>
      <c r="R123" s="539">
        <f>SUM(F123:Q123)</f>
        <v>0</v>
      </c>
      <c r="S123" s="540"/>
    </row>
    <row r="124" spans="1:19" ht="15.5" x14ac:dyDescent="0.35">
      <c r="A124" s="72" t="s">
        <v>92</v>
      </c>
      <c r="B124" s="516"/>
      <c r="C124" s="517"/>
      <c r="D124" s="517"/>
      <c r="E124" s="518"/>
      <c r="F124" s="566">
        <f t="shared" ref="F124:P125" si="38">F102-F80</f>
        <v>0</v>
      </c>
      <c r="G124" s="567"/>
      <c r="H124" s="566">
        <f t="shared" si="38"/>
        <v>0</v>
      </c>
      <c r="I124" s="567"/>
      <c r="J124" s="566">
        <f t="shared" si="38"/>
        <v>0</v>
      </c>
      <c r="K124" s="567"/>
      <c r="L124" s="566">
        <f t="shared" si="38"/>
        <v>0</v>
      </c>
      <c r="M124" s="567"/>
      <c r="N124" s="566">
        <f t="shared" si="38"/>
        <v>0</v>
      </c>
      <c r="O124" s="567"/>
      <c r="P124" s="566">
        <f t="shared" si="38"/>
        <v>0</v>
      </c>
      <c r="Q124" s="567"/>
      <c r="R124" s="539">
        <f>SUM(F124:Q124)</f>
        <v>0</v>
      </c>
      <c r="S124" s="540"/>
    </row>
    <row r="125" spans="1:19" ht="15.5" x14ac:dyDescent="0.35">
      <c r="A125" s="72" t="s">
        <v>128</v>
      </c>
      <c r="B125" s="516" t="s">
        <v>387</v>
      </c>
      <c r="C125" s="517"/>
      <c r="D125" s="517"/>
      <c r="E125" s="518"/>
      <c r="F125" s="566">
        <f t="shared" si="38"/>
        <v>0</v>
      </c>
      <c r="G125" s="567"/>
      <c r="H125" s="566">
        <f t="shared" si="38"/>
        <v>0</v>
      </c>
      <c r="I125" s="567"/>
      <c r="J125" s="566">
        <f t="shared" si="38"/>
        <v>0</v>
      </c>
      <c r="K125" s="567"/>
      <c r="L125" s="566">
        <f t="shared" si="38"/>
        <v>0</v>
      </c>
      <c r="M125" s="567"/>
      <c r="N125" s="566">
        <f t="shared" si="38"/>
        <v>0</v>
      </c>
      <c r="O125" s="567"/>
      <c r="P125" s="566">
        <f t="shared" si="38"/>
        <v>0</v>
      </c>
      <c r="Q125" s="567"/>
      <c r="R125" s="539">
        <f>SUM(F125:Q125)</f>
        <v>0</v>
      </c>
      <c r="S125" s="540"/>
    </row>
    <row r="126" spans="1:19" ht="22.25" customHeight="1" thickBot="1" x14ac:dyDescent="0.4">
      <c r="A126" s="561" t="s">
        <v>390</v>
      </c>
      <c r="B126" s="562"/>
      <c r="C126" s="562"/>
      <c r="D126" s="562"/>
      <c r="E126" s="563"/>
      <c r="F126" s="559">
        <f>SUM(F108:G125)</f>
        <v>3387</v>
      </c>
      <c r="G126" s="560"/>
      <c r="H126" s="559">
        <f>SUM(H108:I125)</f>
        <v>-3930</v>
      </c>
      <c r="I126" s="560"/>
      <c r="J126" s="559">
        <f>SUM(J108:K125)</f>
        <v>-205532.54499999993</v>
      </c>
      <c r="K126" s="560"/>
      <c r="L126" s="559">
        <f>SUM(L108:M125)</f>
        <v>54000</v>
      </c>
      <c r="M126" s="560"/>
      <c r="N126" s="559">
        <f>SUM(N108:O125)</f>
        <v>0</v>
      </c>
      <c r="O126" s="560"/>
      <c r="P126" s="559">
        <f>SUM(P108:Q125)</f>
        <v>-2</v>
      </c>
      <c r="Q126" s="560"/>
      <c r="R126" s="550">
        <f>SUM(F126:Q126)</f>
        <v>-152077.54499999993</v>
      </c>
      <c r="S126" s="551"/>
    </row>
    <row r="127" spans="1:19" ht="21.65" customHeight="1" thickTop="1" x14ac:dyDescent="0.35"/>
    <row r="128" spans="1:19" ht="21.65" customHeight="1" x14ac:dyDescent="0.35"/>
    <row r="129" ht="21.65" customHeight="1" x14ac:dyDescent="0.35"/>
    <row r="130" ht="21.65" customHeight="1" x14ac:dyDescent="0.35"/>
    <row r="131" ht="21.65" customHeight="1" x14ac:dyDescent="0.35"/>
    <row r="132" ht="21.65" customHeight="1" x14ac:dyDescent="0.35"/>
    <row r="133" ht="21.65" customHeight="1" x14ac:dyDescent="0.35"/>
  </sheetData>
  <sheetProtection algorithmName="SHA-512" hashValue="C48S+zVOMwmwR2dWJQkgc782KMQbtyhtKbkY/Q85cld3QhQOtYBAbNe5nwCqLSP5Y4c7QKO+BfIqbpkifmseLA==" saltValue="P9OcBYxqUZQANj6YTito1Q==" spinCount="100000" sheet="1" objects="1" scenarios="1"/>
  <mergeCells count="444">
    <mergeCell ref="B125:E125"/>
    <mergeCell ref="F125:G125"/>
    <mergeCell ref="H125:I125"/>
    <mergeCell ref="J125:K125"/>
    <mergeCell ref="L125:M125"/>
    <mergeCell ref="N125:O125"/>
    <mergeCell ref="P125:Q125"/>
    <mergeCell ref="R125:S125"/>
    <mergeCell ref="A126:E126"/>
    <mergeCell ref="F126:G126"/>
    <mergeCell ref="H126:I126"/>
    <mergeCell ref="J126:K126"/>
    <mergeCell ref="L126:M126"/>
    <mergeCell ref="N126:O126"/>
    <mergeCell ref="P126:Q126"/>
    <mergeCell ref="R126:S126"/>
    <mergeCell ref="B123:E123"/>
    <mergeCell ref="F123:G123"/>
    <mergeCell ref="H123:I123"/>
    <mergeCell ref="J123:K123"/>
    <mergeCell ref="L123:M123"/>
    <mergeCell ref="N123:O123"/>
    <mergeCell ref="P123:Q123"/>
    <mergeCell ref="R123:S123"/>
    <mergeCell ref="B124:E124"/>
    <mergeCell ref="F124:G124"/>
    <mergeCell ref="H124:I124"/>
    <mergeCell ref="J124:K124"/>
    <mergeCell ref="L124:M124"/>
    <mergeCell ref="N124:O124"/>
    <mergeCell ref="P124:Q124"/>
    <mergeCell ref="R124:S124"/>
    <mergeCell ref="B120:E120"/>
    <mergeCell ref="F120:G120"/>
    <mergeCell ref="H120:I120"/>
    <mergeCell ref="J120:K120"/>
    <mergeCell ref="L120:M120"/>
    <mergeCell ref="N120:O120"/>
    <mergeCell ref="P120:Q120"/>
    <mergeCell ref="R120:S120"/>
    <mergeCell ref="B122:E122"/>
    <mergeCell ref="F122:G122"/>
    <mergeCell ref="H122:I122"/>
    <mergeCell ref="J122:K122"/>
    <mergeCell ref="L122:M122"/>
    <mergeCell ref="N122:O122"/>
    <mergeCell ref="P122:Q122"/>
    <mergeCell ref="R122:S122"/>
    <mergeCell ref="B118:E118"/>
    <mergeCell ref="F118:G118"/>
    <mergeCell ref="H118:I118"/>
    <mergeCell ref="J118:K118"/>
    <mergeCell ref="L118:M118"/>
    <mergeCell ref="N118:O118"/>
    <mergeCell ref="P118:Q118"/>
    <mergeCell ref="R118:S118"/>
    <mergeCell ref="B119:E119"/>
    <mergeCell ref="F119:G119"/>
    <mergeCell ref="H119:I119"/>
    <mergeCell ref="J119:K119"/>
    <mergeCell ref="L119:M119"/>
    <mergeCell ref="N119:O119"/>
    <mergeCell ref="P119:Q119"/>
    <mergeCell ref="R119:S119"/>
    <mergeCell ref="B116:E116"/>
    <mergeCell ref="F116:G116"/>
    <mergeCell ref="H116:I116"/>
    <mergeCell ref="J116:K116"/>
    <mergeCell ref="L116:M116"/>
    <mergeCell ref="N116:O116"/>
    <mergeCell ref="P116:Q116"/>
    <mergeCell ref="R116:S116"/>
    <mergeCell ref="B117:E117"/>
    <mergeCell ref="F117:G117"/>
    <mergeCell ref="H117:I117"/>
    <mergeCell ref="J117:K117"/>
    <mergeCell ref="L117:M117"/>
    <mergeCell ref="N117:O117"/>
    <mergeCell ref="P117:Q117"/>
    <mergeCell ref="R117:S117"/>
    <mergeCell ref="B113:E113"/>
    <mergeCell ref="F113:G113"/>
    <mergeCell ref="H113:I113"/>
    <mergeCell ref="J113:K113"/>
    <mergeCell ref="L113:M113"/>
    <mergeCell ref="N113:O113"/>
    <mergeCell ref="P113:Q113"/>
    <mergeCell ref="R113:S113"/>
    <mergeCell ref="B115:E115"/>
    <mergeCell ref="F115:G115"/>
    <mergeCell ref="H115:I115"/>
    <mergeCell ref="J115:K115"/>
    <mergeCell ref="L115:M115"/>
    <mergeCell ref="N115:O115"/>
    <mergeCell ref="P115:Q115"/>
    <mergeCell ref="R115:S115"/>
    <mergeCell ref="B111:E111"/>
    <mergeCell ref="F111:G111"/>
    <mergeCell ref="H111:I111"/>
    <mergeCell ref="J111:K111"/>
    <mergeCell ref="L111:M111"/>
    <mergeCell ref="N111:O111"/>
    <mergeCell ref="P111:Q111"/>
    <mergeCell ref="R111:S111"/>
    <mergeCell ref="B112:E112"/>
    <mergeCell ref="F112:G112"/>
    <mergeCell ref="H112:I112"/>
    <mergeCell ref="J112:K112"/>
    <mergeCell ref="L112:M112"/>
    <mergeCell ref="N112:O112"/>
    <mergeCell ref="P112:Q112"/>
    <mergeCell ref="R112:S112"/>
    <mergeCell ref="B109:E109"/>
    <mergeCell ref="F109:G109"/>
    <mergeCell ref="H109:I109"/>
    <mergeCell ref="J109:K109"/>
    <mergeCell ref="L109:M109"/>
    <mergeCell ref="N109:O109"/>
    <mergeCell ref="P109:Q109"/>
    <mergeCell ref="R109:S109"/>
    <mergeCell ref="B110:E110"/>
    <mergeCell ref="F110:G110"/>
    <mergeCell ref="H110:I110"/>
    <mergeCell ref="J110:K110"/>
    <mergeCell ref="L110:M110"/>
    <mergeCell ref="N110:O110"/>
    <mergeCell ref="P110:Q110"/>
    <mergeCell ref="R110:S110"/>
    <mergeCell ref="A105:S105"/>
    <mergeCell ref="B106:E106"/>
    <mergeCell ref="A107:S107"/>
    <mergeCell ref="F108:G108"/>
    <mergeCell ref="H108:I108"/>
    <mergeCell ref="J108:K108"/>
    <mergeCell ref="L108:M108"/>
    <mergeCell ref="N108:O108"/>
    <mergeCell ref="P108:Q108"/>
    <mergeCell ref="R108:S108"/>
    <mergeCell ref="B103:E103"/>
    <mergeCell ref="F103:G103"/>
    <mergeCell ref="H103:I103"/>
    <mergeCell ref="J103:K103"/>
    <mergeCell ref="L103:M103"/>
    <mergeCell ref="N103:O103"/>
    <mergeCell ref="P103:Q103"/>
    <mergeCell ref="R103:S103"/>
    <mergeCell ref="A104:E104"/>
    <mergeCell ref="F104:G104"/>
    <mergeCell ref="H104:I104"/>
    <mergeCell ref="J104:K104"/>
    <mergeCell ref="L104:M104"/>
    <mergeCell ref="N104:O104"/>
    <mergeCell ref="P104:Q104"/>
    <mergeCell ref="R104:S104"/>
    <mergeCell ref="B101:E101"/>
    <mergeCell ref="F101:G101"/>
    <mergeCell ref="H101:I101"/>
    <mergeCell ref="J101:K101"/>
    <mergeCell ref="L101:M101"/>
    <mergeCell ref="N101:O101"/>
    <mergeCell ref="P101:Q101"/>
    <mergeCell ref="R101:S101"/>
    <mergeCell ref="B102:E102"/>
    <mergeCell ref="F102:G102"/>
    <mergeCell ref="H102:I102"/>
    <mergeCell ref="J102:K102"/>
    <mergeCell ref="L102:M102"/>
    <mergeCell ref="N102:O102"/>
    <mergeCell ref="P102:Q102"/>
    <mergeCell ref="R102:S102"/>
    <mergeCell ref="B98:E98"/>
    <mergeCell ref="F98:G98"/>
    <mergeCell ref="H98:I98"/>
    <mergeCell ref="J98:K98"/>
    <mergeCell ref="L98:M98"/>
    <mergeCell ref="N98:O98"/>
    <mergeCell ref="P98:Q98"/>
    <mergeCell ref="R98:S98"/>
    <mergeCell ref="B100:E100"/>
    <mergeCell ref="F100:G100"/>
    <mergeCell ref="H100:I100"/>
    <mergeCell ref="J100:K100"/>
    <mergeCell ref="L100:M100"/>
    <mergeCell ref="N100:O100"/>
    <mergeCell ref="P100:Q100"/>
    <mergeCell ref="R100:S100"/>
    <mergeCell ref="B96:E96"/>
    <mergeCell ref="F96:G96"/>
    <mergeCell ref="H96:I96"/>
    <mergeCell ref="J96:K96"/>
    <mergeCell ref="L96:M96"/>
    <mergeCell ref="N96:O96"/>
    <mergeCell ref="P96:Q96"/>
    <mergeCell ref="R96:S96"/>
    <mergeCell ref="B97:E97"/>
    <mergeCell ref="F97:G97"/>
    <mergeCell ref="H97:I97"/>
    <mergeCell ref="J97:K97"/>
    <mergeCell ref="L97:M97"/>
    <mergeCell ref="N97:O97"/>
    <mergeCell ref="P97:Q97"/>
    <mergeCell ref="R97:S97"/>
    <mergeCell ref="B94:E94"/>
    <mergeCell ref="F94:G94"/>
    <mergeCell ref="H94:I94"/>
    <mergeCell ref="J94:K94"/>
    <mergeCell ref="L94:M94"/>
    <mergeCell ref="N94:O94"/>
    <mergeCell ref="P94:Q94"/>
    <mergeCell ref="R94:S94"/>
    <mergeCell ref="B95:E95"/>
    <mergeCell ref="F95:G95"/>
    <mergeCell ref="H95:I95"/>
    <mergeCell ref="J95:K95"/>
    <mergeCell ref="L95:M95"/>
    <mergeCell ref="N95:O95"/>
    <mergeCell ref="P95:Q95"/>
    <mergeCell ref="R95:S95"/>
    <mergeCell ref="B91:E91"/>
    <mergeCell ref="F91:G91"/>
    <mergeCell ref="H91:I91"/>
    <mergeCell ref="J91:K91"/>
    <mergeCell ref="L91:M91"/>
    <mergeCell ref="N91:O91"/>
    <mergeCell ref="P91:Q91"/>
    <mergeCell ref="R91:S91"/>
    <mergeCell ref="B93:E93"/>
    <mergeCell ref="F93:G93"/>
    <mergeCell ref="H93:I93"/>
    <mergeCell ref="J93:K93"/>
    <mergeCell ref="L93:M93"/>
    <mergeCell ref="N93:O93"/>
    <mergeCell ref="P93:Q93"/>
    <mergeCell ref="R93:S93"/>
    <mergeCell ref="B89:E89"/>
    <mergeCell ref="F89:G89"/>
    <mergeCell ref="H89:I89"/>
    <mergeCell ref="J89:K89"/>
    <mergeCell ref="L89:M89"/>
    <mergeCell ref="N89:O89"/>
    <mergeCell ref="P89:Q89"/>
    <mergeCell ref="R89:S89"/>
    <mergeCell ref="B90:E90"/>
    <mergeCell ref="F90:G90"/>
    <mergeCell ref="H90:I90"/>
    <mergeCell ref="J90:K90"/>
    <mergeCell ref="L90:M90"/>
    <mergeCell ref="N90:O90"/>
    <mergeCell ref="P90:Q90"/>
    <mergeCell ref="R90:S90"/>
    <mergeCell ref="B87:E87"/>
    <mergeCell ref="F87:G87"/>
    <mergeCell ref="H87:I87"/>
    <mergeCell ref="J87:K87"/>
    <mergeCell ref="L87:M87"/>
    <mergeCell ref="N87:O87"/>
    <mergeCell ref="P87:Q87"/>
    <mergeCell ref="R87:S87"/>
    <mergeCell ref="B88:E88"/>
    <mergeCell ref="F88:G88"/>
    <mergeCell ref="H88:I88"/>
    <mergeCell ref="J88:K88"/>
    <mergeCell ref="L88:M88"/>
    <mergeCell ref="N88:O88"/>
    <mergeCell ref="P88:Q88"/>
    <mergeCell ref="R88:S88"/>
    <mergeCell ref="A83:S83"/>
    <mergeCell ref="F82:G82"/>
    <mergeCell ref="H82:I82"/>
    <mergeCell ref="J82:K82"/>
    <mergeCell ref="L82:M82"/>
    <mergeCell ref="N82:O82"/>
    <mergeCell ref="P82:Q82"/>
    <mergeCell ref="A82:E82"/>
    <mergeCell ref="R64:S64"/>
    <mergeCell ref="R65:S65"/>
    <mergeCell ref="R66:S66"/>
    <mergeCell ref="R67:S67"/>
    <mergeCell ref="R68:S68"/>
    <mergeCell ref="R71:S71"/>
    <mergeCell ref="R72:S72"/>
    <mergeCell ref="R73:S73"/>
    <mergeCell ref="R74:S74"/>
    <mergeCell ref="R75:S75"/>
    <mergeCell ref="R76:S76"/>
    <mergeCell ref="R78:S78"/>
    <mergeCell ref="R79:S79"/>
    <mergeCell ref="R69:S69"/>
    <mergeCell ref="N74:O74"/>
    <mergeCell ref="P74:Q74"/>
    <mergeCell ref="B84:E84"/>
    <mergeCell ref="A85:S85"/>
    <mergeCell ref="B86:E86"/>
    <mergeCell ref="F86:G86"/>
    <mergeCell ref="H86:I86"/>
    <mergeCell ref="J86:K86"/>
    <mergeCell ref="L86:M86"/>
    <mergeCell ref="N86:O86"/>
    <mergeCell ref="P86:Q86"/>
    <mergeCell ref="R86:S86"/>
    <mergeCell ref="R2:S3"/>
    <mergeCell ref="R81:S81"/>
    <mergeCell ref="R82:S82"/>
    <mergeCell ref="B68:E68"/>
    <mergeCell ref="B69:E69"/>
    <mergeCell ref="H67:I67"/>
    <mergeCell ref="H68:I68"/>
    <mergeCell ref="H69:I69"/>
    <mergeCell ref="J67:K67"/>
    <mergeCell ref="J68:K68"/>
    <mergeCell ref="J69:K69"/>
    <mergeCell ref="L67:M67"/>
    <mergeCell ref="L68:M68"/>
    <mergeCell ref="L69:M69"/>
    <mergeCell ref="N81:O81"/>
    <mergeCell ref="P81:Q81"/>
    <mergeCell ref="F72:G72"/>
    <mergeCell ref="F73:G73"/>
    <mergeCell ref="F78:G78"/>
    <mergeCell ref="F81:G81"/>
    <mergeCell ref="B71:E71"/>
    <mergeCell ref="B72:E72"/>
    <mergeCell ref="B73:E73"/>
    <mergeCell ref="B74:E74"/>
    <mergeCell ref="P79:Q79"/>
    <mergeCell ref="P80:Q80"/>
    <mergeCell ref="N79:O79"/>
    <mergeCell ref="N80:O80"/>
    <mergeCell ref="L79:M79"/>
    <mergeCell ref="L80:M80"/>
    <mergeCell ref="R80:S80"/>
    <mergeCell ref="B65:E65"/>
    <mergeCell ref="B66:E66"/>
    <mergeCell ref="H72:I72"/>
    <mergeCell ref="H73:I73"/>
    <mergeCell ref="H78:I78"/>
    <mergeCell ref="J78:K78"/>
    <mergeCell ref="B78:E78"/>
    <mergeCell ref="J79:K79"/>
    <mergeCell ref="J80:K80"/>
    <mergeCell ref="L78:M78"/>
    <mergeCell ref="N78:O78"/>
    <mergeCell ref="P78:Q78"/>
    <mergeCell ref="P69:Q69"/>
    <mergeCell ref="P76:Q76"/>
    <mergeCell ref="N75:O75"/>
    <mergeCell ref="L75:M75"/>
    <mergeCell ref="J75:K75"/>
    <mergeCell ref="R57:S57"/>
    <mergeCell ref="J65:K65"/>
    <mergeCell ref="J66:K66"/>
    <mergeCell ref="J71:K71"/>
    <mergeCell ref="J74:K74"/>
    <mergeCell ref="F67:G67"/>
    <mergeCell ref="F68:G68"/>
    <mergeCell ref="F69:G69"/>
    <mergeCell ref="F74:G74"/>
    <mergeCell ref="H74:I74"/>
    <mergeCell ref="P64:Q64"/>
    <mergeCell ref="P65:Q65"/>
    <mergeCell ref="P66:Q66"/>
    <mergeCell ref="P71:Q71"/>
    <mergeCell ref="P72:Q72"/>
    <mergeCell ref="N64:O64"/>
    <mergeCell ref="N65:O65"/>
    <mergeCell ref="N66:O66"/>
    <mergeCell ref="N71:O71"/>
    <mergeCell ref="N72:O72"/>
    <mergeCell ref="N73:O73"/>
    <mergeCell ref="L64:M64"/>
    <mergeCell ref="J72:K72"/>
    <mergeCell ref="J73:K73"/>
    <mergeCell ref="J81:K81"/>
    <mergeCell ref="J57:K57"/>
    <mergeCell ref="L57:M57"/>
    <mergeCell ref="L81:M81"/>
    <mergeCell ref="L74:M74"/>
    <mergeCell ref="A1:L1"/>
    <mergeCell ref="M1:P1"/>
    <mergeCell ref="N57:O57"/>
    <mergeCell ref="P57:Q57"/>
    <mergeCell ref="C2:C3"/>
    <mergeCell ref="D2:D3"/>
    <mergeCell ref="E2:E3"/>
    <mergeCell ref="A4:S4"/>
    <mergeCell ref="A61:S61"/>
    <mergeCell ref="A28:E28"/>
    <mergeCell ref="F2:G2"/>
    <mergeCell ref="P2:Q2"/>
    <mergeCell ref="A2:A3"/>
    <mergeCell ref="A30:S30"/>
    <mergeCell ref="A54:E54"/>
    <mergeCell ref="A56:S56"/>
    <mergeCell ref="A57:E57"/>
    <mergeCell ref="B2:B3"/>
    <mergeCell ref="H2:I2"/>
    <mergeCell ref="J2:K2"/>
    <mergeCell ref="L2:M2"/>
    <mergeCell ref="N2:O2"/>
    <mergeCell ref="B67:E67"/>
    <mergeCell ref="L65:M65"/>
    <mergeCell ref="L66:M66"/>
    <mergeCell ref="L71:M71"/>
    <mergeCell ref="J64:K64"/>
    <mergeCell ref="F64:G64"/>
    <mergeCell ref="F65:G65"/>
    <mergeCell ref="F66:G66"/>
    <mergeCell ref="F71:G71"/>
    <mergeCell ref="A60:S60"/>
    <mergeCell ref="F57:G57"/>
    <mergeCell ref="H57:I57"/>
    <mergeCell ref="A63:S63"/>
    <mergeCell ref="B62:E62"/>
    <mergeCell ref="H64:I64"/>
    <mergeCell ref="H65:I65"/>
    <mergeCell ref="H66:I66"/>
    <mergeCell ref="H71:I71"/>
    <mergeCell ref="B64:E64"/>
    <mergeCell ref="P67:Q67"/>
    <mergeCell ref="P68:Q68"/>
    <mergeCell ref="B81:E81"/>
    <mergeCell ref="B80:E80"/>
    <mergeCell ref="B79:E79"/>
    <mergeCell ref="F75:G75"/>
    <mergeCell ref="F76:G76"/>
    <mergeCell ref="H75:I75"/>
    <mergeCell ref="H76:I76"/>
    <mergeCell ref="F79:G79"/>
    <mergeCell ref="H79:I79"/>
    <mergeCell ref="B76:E76"/>
    <mergeCell ref="B75:E75"/>
    <mergeCell ref="H81:I81"/>
    <mergeCell ref="F80:G80"/>
    <mergeCell ref="H80:I80"/>
    <mergeCell ref="J76:K76"/>
    <mergeCell ref="L76:M76"/>
    <mergeCell ref="N76:O76"/>
    <mergeCell ref="P75:Q75"/>
    <mergeCell ref="N67:O67"/>
    <mergeCell ref="P73:Q73"/>
    <mergeCell ref="N68:O68"/>
    <mergeCell ref="N69:O69"/>
    <mergeCell ref="L72:M72"/>
    <mergeCell ref="L73:M73"/>
  </mergeCells>
  <pageMargins left="0.7" right="0.7" top="0.75" bottom="0.75" header="0.3" footer="0.3"/>
  <pageSetup paperSize="9" orientation="portrait" r:id="rId1"/>
  <headerFooter>
    <oddFooter>&amp;C_x000D_&amp;1#&amp;"Calibri"&amp;10&amp;K000000 Restricted : General Al-Futtaim Group</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7BDED316-C778-4DD7-B4D3-04B2A028421E}">
          <x14:formula1>
            <xm:f>Lists!$A$69:$A$72</xm:f>
          </x14:formula1>
          <xm:sqref>D5:D27 D31:D53</xm:sqref>
        </x14:dataValidation>
        <x14:dataValidation type="list" allowBlank="1" showInputMessage="1" showErrorMessage="1" xr:uid="{1A2065AF-0EE6-42F2-B5F9-7723476C0CD1}">
          <x14:formula1>
            <xm:f>OFFSET(Lists!$C$14, 1, MATCH($B5, Lists!$C$14:$L$14, 0)-1, COUNTA(OFFSET(Lists!$C$14, 1, MATCH($B5, Lists!$C$14:$L$14, 0)-1, 50)),1)</xm:f>
          </x14:formula1>
          <xm:sqref>C5:C27 C31:C53</xm:sqref>
        </x14:dataValidation>
        <x14:dataValidation type="list" allowBlank="1" showInputMessage="1" showErrorMessage="1" xr:uid="{B3EA11A3-1467-48D4-9167-D626436884EA}">
          <x14:formula1>
            <xm:f>Lists!$C$14:$L$14</xm:f>
          </x14:formula1>
          <xm:sqref>B5:B27 B31:B53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9326D-ACF2-4AA0-9553-C47E4E1F9CE0}">
  <dimension ref="A1:H27"/>
  <sheetViews>
    <sheetView topLeftCell="A8" zoomScale="90" zoomScaleNormal="90" workbookViewId="0">
      <selection activeCell="C17" sqref="C17"/>
    </sheetView>
  </sheetViews>
  <sheetFormatPr defaultRowHeight="14.5" x14ac:dyDescent="0.35"/>
  <cols>
    <col min="1" max="1" width="75.36328125" bestFit="1" customWidth="1"/>
    <col min="2" max="2" width="17.6328125" customWidth="1"/>
    <col min="3" max="3" width="15.453125" customWidth="1"/>
    <col min="4" max="4" width="13.6328125" customWidth="1"/>
    <col min="5" max="5" width="17.36328125" bestFit="1" customWidth="1"/>
    <col min="6" max="6" width="12.36328125" customWidth="1"/>
    <col min="7" max="7" width="17.36328125" bestFit="1" customWidth="1"/>
    <col min="8" max="8" width="15.36328125" customWidth="1"/>
  </cols>
  <sheetData>
    <row r="1" spans="1:8" ht="29.75" customHeight="1" x14ac:dyDescent="0.45">
      <c r="A1" s="568" t="s">
        <v>391</v>
      </c>
      <c r="B1" s="568"/>
      <c r="C1" s="568"/>
      <c r="D1" s="568"/>
      <c r="E1" s="568"/>
      <c r="F1" s="568"/>
      <c r="G1" s="568"/>
      <c r="H1" s="568"/>
    </row>
    <row r="2" spans="1:8" x14ac:dyDescent="0.35">
      <c r="A2" s="135"/>
      <c r="B2" s="135" t="s">
        <v>116</v>
      </c>
      <c r="C2" s="135" t="s">
        <v>117</v>
      </c>
      <c r="D2" s="135" t="s">
        <v>118</v>
      </c>
      <c r="E2" s="135" t="s">
        <v>119</v>
      </c>
      <c r="F2" s="135" t="s">
        <v>120</v>
      </c>
      <c r="G2" s="135" t="s">
        <v>121</v>
      </c>
      <c r="H2" s="135" t="s">
        <v>122</v>
      </c>
    </row>
    <row r="3" spans="1:8" ht="14.75" customHeight="1" x14ac:dyDescent="0.35">
      <c r="A3" s="103" t="s">
        <v>392</v>
      </c>
      <c r="B3" s="136">
        <f t="shared" ref="B3:H3" si="0">B11</f>
        <v>7</v>
      </c>
      <c r="C3" s="30">
        <f t="shared" si="0"/>
        <v>7</v>
      </c>
      <c r="D3" s="30">
        <f t="shared" si="0"/>
        <v>0</v>
      </c>
      <c r="E3" s="30">
        <f t="shared" si="0"/>
        <v>0</v>
      </c>
      <c r="F3" s="30">
        <f t="shared" si="0"/>
        <v>0</v>
      </c>
      <c r="G3" s="30">
        <f t="shared" si="0"/>
        <v>0</v>
      </c>
      <c r="H3" s="30">
        <f t="shared" si="0"/>
        <v>0</v>
      </c>
    </row>
    <row r="4" spans="1:8" ht="15.5" x14ac:dyDescent="0.35">
      <c r="A4" s="103" t="s">
        <v>393</v>
      </c>
      <c r="B4" s="136">
        <f t="shared" ref="B4:H4" si="1">B16</f>
        <v>209473.54499999993</v>
      </c>
      <c r="C4" s="30">
        <f t="shared" si="1"/>
        <v>8</v>
      </c>
      <c r="D4" s="30">
        <f t="shared" si="1"/>
        <v>3930</v>
      </c>
      <c r="E4" s="30">
        <f t="shared" si="1"/>
        <v>205532.54499999993</v>
      </c>
      <c r="F4" s="30">
        <f t="shared" si="1"/>
        <v>0</v>
      </c>
      <c r="G4" s="30">
        <f t="shared" si="1"/>
        <v>0</v>
      </c>
      <c r="H4" s="30">
        <f t="shared" si="1"/>
        <v>3</v>
      </c>
    </row>
    <row r="5" spans="1:8" ht="15.5" x14ac:dyDescent="0.35">
      <c r="A5" s="103" t="s">
        <v>394</v>
      </c>
      <c r="B5" s="136">
        <f t="shared" ref="B5:H5" si="2">B21</f>
        <v>3</v>
      </c>
      <c r="C5" s="30">
        <f t="shared" si="2"/>
        <v>3</v>
      </c>
      <c r="D5" s="30">
        <f t="shared" si="2"/>
        <v>0</v>
      </c>
      <c r="E5" s="30">
        <f t="shared" si="2"/>
        <v>0</v>
      </c>
      <c r="F5" s="30">
        <f t="shared" si="2"/>
        <v>0</v>
      </c>
      <c r="G5" s="30">
        <f t="shared" si="2"/>
        <v>0</v>
      </c>
      <c r="H5" s="30">
        <f t="shared" si="2"/>
        <v>0</v>
      </c>
    </row>
    <row r="6" spans="1:8" ht="15.5" x14ac:dyDescent="0.35">
      <c r="A6" s="569" t="s">
        <v>395</v>
      </c>
      <c r="B6" s="569"/>
      <c r="C6" s="137">
        <f t="shared" ref="C6:H6" si="3">SUM(C3:C5)</f>
        <v>18</v>
      </c>
      <c r="D6" s="137">
        <f t="shared" si="3"/>
        <v>3930</v>
      </c>
      <c r="E6" s="137">
        <f t="shared" si="3"/>
        <v>205532.54499999993</v>
      </c>
      <c r="F6" s="137">
        <f t="shared" si="3"/>
        <v>0</v>
      </c>
      <c r="G6" s="137">
        <f t="shared" si="3"/>
        <v>0</v>
      </c>
      <c r="H6" s="137">
        <f t="shared" si="3"/>
        <v>3</v>
      </c>
    </row>
    <row r="8" spans="1:8" ht="18.5" x14ac:dyDescent="0.45">
      <c r="A8" s="456" t="s">
        <v>396</v>
      </c>
      <c r="B8" s="456"/>
      <c r="C8" s="456"/>
      <c r="D8" s="456"/>
      <c r="E8" s="456"/>
      <c r="F8" s="456"/>
      <c r="G8" s="456"/>
      <c r="H8" s="456"/>
    </row>
    <row r="9" spans="1:8" x14ac:dyDescent="0.35">
      <c r="A9" s="13"/>
      <c r="B9" s="14" t="s">
        <v>116</v>
      </c>
      <c r="C9" s="14" t="s">
        <v>117</v>
      </c>
      <c r="D9" s="14" t="s">
        <v>118</v>
      </c>
      <c r="E9" s="14" t="s">
        <v>119</v>
      </c>
      <c r="F9" s="14" t="s">
        <v>120</v>
      </c>
      <c r="G9" s="14" t="s">
        <v>121</v>
      </c>
      <c r="H9" s="14" t="s">
        <v>122</v>
      </c>
    </row>
    <row r="10" spans="1:8" ht="15" customHeight="1" x14ac:dyDescent="0.35">
      <c r="A10" s="478" t="s">
        <v>280</v>
      </c>
      <c r="B10" s="405"/>
      <c r="C10" s="405"/>
      <c r="D10" s="405"/>
      <c r="E10" s="405"/>
      <c r="F10" s="405"/>
      <c r="G10" s="405"/>
      <c r="H10" s="479"/>
    </row>
    <row r="11" spans="1:8" ht="15" customHeight="1" x14ac:dyDescent="0.35">
      <c r="A11" s="74"/>
      <c r="B11" s="74">
        <f t="shared" ref="B11:H11" si="4">SUBTOTAL(9,B12:B14)</f>
        <v>7</v>
      </c>
      <c r="C11" s="74">
        <f t="shared" si="4"/>
        <v>7</v>
      </c>
      <c r="D11" s="74">
        <f t="shared" si="4"/>
        <v>0</v>
      </c>
      <c r="E11" s="74">
        <f t="shared" si="4"/>
        <v>0</v>
      </c>
      <c r="F11" s="74">
        <f t="shared" si="4"/>
        <v>0</v>
      </c>
      <c r="G11" s="74">
        <f t="shared" si="4"/>
        <v>0</v>
      </c>
      <c r="H11" s="74">
        <f t="shared" si="4"/>
        <v>0</v>
      </c>
    </row>
    <row r="12" spans="1:8" ht="16.25" customHeight="1" x14ac:dyDescent="0.35">
      <c r="A12" s="159" t="s">
        <v>281</v>
      </c>
      <c r="B12" s="160">
        <f>SUM(C12:H12)</f>
        <v>5</v>
      </c>
      <c r="C12" s="161">
        <v>5</v>
      </c>
      <c r="D12" s="161"/>
      <c r="E12" s="161"/>
      <c r="F12" s="161"/>
      <c r="G12" s="161"/>
      <c r="H12" s="161"/>
    </row>
    <row r="13" spans="1:8" ht="16.25" customHeight="1" x14ac:dyDescent="0.35">
      <c r="A13" s="159" t="s">
        <v>282</v>
      </c>
      <c r="B13" s="160">
        <f>SUM(C13:H13)</f>
        <v>1</v>
      </c>
      <c r="C13" s="161">
        <v>1</v>
      </c>
      <c r="D13" s="161"/>
      <c r="E13" s="161"/>
      <c r="F13" s="161"/>
      <c r="G13" s="161">
        <v>0</v>
      </c>
      <c r="H13" s="161">
        <v>0</v>
      </c>
    </row>
    <row r="14" spans="1:8" ht="16.25" customHeight="1" x14ac:dyDescent="0.35">
      <c r="A14" s="159" t="s">
        <v>283</v>
      </c>
      <c r="B14" s="160">
        <f>SUM(C14:H14)</f>
        <v>1</v>
      </c>
      <c r="C14" s="161">
        <v>1</v>
      </c>
      <c r="D14" s="161"/>
      <c r="E14" s="161"/>
      <c r="F14" s="161"/>
      <c r="G14" s="161"/>
      <c r="H14" s="161"/>
    </row>
    <row r="15" spans="1:8" ht="29.75" customHeight="1" x14ac:dyDescent="0.35">
      <c r="A15" s="480" t="s">
        <v>284</v>
      </c>
      <c r="B15" s="408"/>
      <c r="C15" s="408"/>
      <c r="D15" s="408"/>
      <c r="E15" s="408"/>
      <c r="F15" s="408"/>
      <c r="G15" s="408"/>
      <c r="H15" s="408"/>
    </row>
    <row r="16" spans="1:8" ht="15.5" x14ac:dyDescent="0.35">
      <c r="A16" s="74"/>
      <c r="B16" s="74">
        <f>SUBTOTAL(9,B17:B19)</f>
        <v>209473.54499999993</v>
      </c>
      <c r="C16" s="74">
        <f t="shared" ref="C16:H16" si="5">SUBTOTAL(9,C17:C19)</f>
        <v>8</v>
      </c>
      <c r="D16" s="74">
        <f t="shared" si="5"/>
        <v>3930</v>
      </c>
      <c r="E16" s="74">
        <f t="shared" si="5"/>
        <v>205532.54499999993</v>
      </c>
      <c r="F16" s="74">
        <f t="shared" si="5"/>
        <v>0</v>
      </c>
      <c r="G16" s="74">
        <f t="shared" si="5"/>
        <v>0</v>
      </c>
      <c r="H16" s="74">
        <f t="shared" si="5"/>
        <v>3</v>
      </c>
    </row>
    <row r="17" spans="1:8" ht="16.25" customHeight="1" x14ac:dyDescent="0.35">
      <c r="A17" s="121" t="s">
        <v>285</v>
      </c>
      <c r="B17" s="116">
        <f>SUM(C17:H17)</f>
        <v>209464.54499999993</v>
      </c>
      <c r="C17" s="75">
        <f>IF(OPEX!F126&lt;0, -1*OPEX!F126, 0)</f>
        <v>0</v>
      </c>
      <c r="D17" s="75">
        <f>IF(OPEX!H126&lt;0, -1*OPEX!H126, 0)</f>
        <v>3930</v>
      </c>
      <c r="E17" s="75">
        <f>IF(OPEX!J126&lt;0, -1*OPEX!J126, 0)</f>
        <v>205532.54499999993</v>
      </c>
      <c r="F17" s="75">
        <f>IF(OPEX!L126&lt;0, -1*OPEX!I126, 0)</f>
        <v>0</v>
      </c>
      <c r="G17" s="75">
        <f>IF(OPEX!N126&lt;0, -1*OPEX!N126, 0)</f>
        <v>0</v>
      </c>
      <c r="H17" s="75">
        <f>IF(OPEX!P126&lt;0, -1*OPEX!P126, 0)</f>
        <v>2</v>
      </c>
    </row>
    <row r="18" spans="1:8" ht="16.25" customHeight="1" x14ac:dyDescent="0.35">
      <c r="A18" s="159" t="s">
        <v>286</v>
      </c>
      <c r="B18" s="160">
        <f>SUM(C18:H18)</f>
        <v>5</v>
      </c>
      <c r="C18" s="161">
        <v>4</v>
      </c>
      <c r="D18" s="161">
        <v>0</v>
      </c>
      <c r="E18" s="161">
        <v>0</v>
      </c>
      <c r="F18" s="161">
        <v>0</v>
      </c>
      <c r="G18" s="161">
        <v>0</v>
      </c>
      <c r="H18" s="161">
        <v>1</v>
      </c>
    </row>
    <row r="19" spans="1:8" ht="16.25" customHeight="1" x14ac:dyDescent="0.35">
      <c r="A19" s="159" t="s">
        <v>287</v>
      </c>
      <c r="B19" s="160">
        <f>SUM(C19:H19)</f>
        <v>4</v>
      </c>
      <c r="C19" s="161">
        <v>4</v>
      </c>
      <c r="D19" s="161">
        <v>0</v>
      </c>
      <c r="E19" s="161">
        <v>0</v>
      </c>
      <c r="F19" s="161">
        <v>0</v>
      </c>
      <c r="G19" s="161">
        <v>0</v>
      </c>
      <c r="H19" s="161">
        <v>0</v>
      </c>
    </row>
    <row r="20" spans="1:8" ht="34.5" customHeight="1" x14ac:dyDescent="0.35">
      <c r="A20" s="480" t="s">
        <v>288</v>
      </c>
      <c r="B20" s="408"/>
      <c r="C20" s="408"/>
      <c r="D20" s="408"/>
      <c r="E20" s="408"/>
      <c r="F20" s="408"/>
      <c r="G20" s="408"/>
      <c r="H20" s="408"/>
    </row>
    <row r="21" spans="1:8" ht="15.5" x14ac:dyDescent="0.35">
      <c r="A21" s="74"/>
      <c r="B21" s="74">
        <f t="shared" ref="B21:H21" si="6">SUBTOTAL(9,B22:B24)</f>
        <v>3</v>
      </c>
      <c r="C21" s="74">
        <f t="shared" si="6"/>
        <v>3</v>
      </c>
      <c r="D21" s="74">
        <f t="shared" si="6"/>
        <v>0</v>
      </c>
      <c r="E21" s="74">
        <f t="shared" si="6"/>
        <v>0</v>
      </c>
      <c r="F21" s="74">
        <f t="shared" si="6"/>
        <v>0</v>
      </c>
      <c r="G21" s="74">
        <f t="shared" si="6"/>
        <v>0</v>
      </c>
      <c r="H21" s="74">
        <f t="shared" si="6"/>
        <v>0</v>
      </c>
    </row>
    <row r="22" spans="1:8" ht="16.25" customHeight="1" x14ac:dyDescent="0.35">
      <c r="A22" s="162" t="s">
        <v>289</v>
      </c>
      <c r="B22" s="160">
        <f>SUM(C22:H22)</f>
        <v>1</v>
      </c>
      <c r="C22" s="161">
        <v>1</v>
      </c>
      <c r="D22" s="161"/>
      <c r="E22" s="161"/>
      <c r="F22" s="161"/>
      <c r="G22" s="161"/>
      <c r="H22" s="161"/>
    </row>
    <row r="23" spans="1:8" ht="16.25" customHeight="1" x14ac:dyDescent="0.35">
      <c r="A23" s="162" t="s">
        <v>290</v>
      </c>
      <c r="B23" s="160">
        <f>SUM(C23:H23)</f>
        <v>1</v>
      </c>
      <c r="C23" s="161">
        <v>1</v>
      </c>
      <c r="D23" s="161"/>
      <c r="E23" s="161"/>
      <c r="F23" s="161"/>
      <c r="G23" s="161"/>
      <c r="H23" s="161"/>
    </row>
    <row r="24" spans="1:8" ht="16.25" customHeight="1" x14ac:dyDescent="0.35">
      <c r="A24" s="162" t="s">
        <v>291</v>
      </c>
      <c r="B24" s="160">
        <f>SUM(C24:H24)</f>
        <v>1</v>
      </c>
      <c r="C24" s="161">
        <v>1</v>
      </c>
      <c r="D24" s="161"/>
      <c r="E24" s="161"/>
      <c r="F24" s="161"/>
      <c r="G24" s="161"/>
      <c r="H24" s="161"/>
    </row>
    <row r="25" spans="1:8" ht="6" customHeight="1" x14ac:dyDescent="0.35">
      <c r="A25" s="9"/>
      <c r="B25" s="80"/>
      <c r="C25" s="81"/>
      <c r="D25" s="81"/>
      <c r="E25" s="81"/>
      <c r="F25" s="81"/>
      <c r="G25" s="81"/>
      <c r="H25" s="81"/>
    </row>
    <row r="26" spans="1:8" ht="43.25" customHeight="1" thickBot="1" x14ac:dyDescent="0.4">
      <c r="A26" s="117" t="s">
        <v>292</v>
      </c>
      <c r="B26" s="82">
        <f>SUBTOTAL(9,B11:B24)</f>
        <v>209483.54499999993</v>
      </c>
      <c r="C26" s="82">
        <f t="shared" ref="C26:H26" si="7">SUBTOTAL(9,C11:C25)</f>
        <v>18</v>
      </c>
      <c r="D26" s="82">
        <f t="shared" si="7"/>
        <v>3930</v>
      </c>
      <c r="E26" s="82">
        <f t="shared" si="7"/>
        <v>205532.54499999993</v>
      </c>
      <c r="F26" s="82">
        <f t="shared" si="7"/>
        <v>0</v>
      </c>
      <c r="G26" s="82">
        <f t="shared" si="7"/>
        <v>0</v>
      </c>
      <c r="H26" s="82">
        <f t="shared" si="7"/>
        <v>3</v>
      </c>
    </row>
    <row r="27" spans="1:8" ht="15" thickTop="1" x14ac:dyDescent="0.35">
      <c r="A27" s="7"/>
      <c r="B27" s="7"/>
      <c r="C27" s="7"/>
      <c r="D27" s="7"/>
      <c r="E27" s="7"/>
      <c r="F27" s="7"/>
      <c r="G27" s="7"/>
    </row>
  </sheetData>
  <sheetProtection algorithmName="SHA-512" hashValue="hQ50MlCY0fBuUslzKnTvkLBlWbH/Rzi5PrYa2KI6dsiNWr7fe+Vl191kR8tGYy/FcnzYIagP84nyUn0bc70l1g==" saltValue="lhHVwUac7Y3MiyO5ejQBog==" spinCount="100000" sheet="1" objects="1" scenarios="1"/>
  <mergeCells count="6">
    <mergeCell ref="A20:H20"/>
    <mergeCell ref="A1:H1"/>
    <mergeCell ref="A6:B6"/>
    <mergeCell ref="A8:H8"/>
    <mergeCell ref="A10:H10"/>
    <mergeCell ref="A15:H15"/>
  </mergeCells>
  <pageMargins left="0.7" right="0.7" top="0.75" bottom="0.75" header="0.3" footer="0.3"/>
  <pageSetup orientation="portrait" r:id="rId1"/>
  <headerFooter>
    <oddFooter>&amp;C_x000D_&amp;1#&amp;"Calibri"&amp;10&amp;K000000 Restricted : General Al-Futtaim Group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27"/>
  <sheetViews>
    <sheetView topLeftCell="A17" zoomScale="90" zoomScaleNormal="90" workbookViewId="0">
      <selection activeCell="B21" sqref="B21"/>
    </sheetView>
  </sheetViews>
  <sheetFormatPr defaultRowHeight="14.5" x14ac:dyDescent="0.35"/>
  <cols>
    <col min="1" max="1" width="56.6328125" customWidth="1"/>
    <col min="2" max="2" width="27.453125" customWidth="1"/>
    <col min="3" max="3" width="41.6328125" bestFit="1" customWidth="1"/>
    <col min="4" max="4" width="18.36328125" customWidth="1"/>
    <col min="5" max="6" width="27.453125" bestFit="1" customWidth="1"/>
    <col min="7" max="7" width="31.36328125" customWidth="1"/>
    <col min="8" max="8" width="31.453125" bestFit="1" customWidth="1"/>
    <col min="9" max="9" width="27.453125" bestFit="1" customWidth="1"/>
  </cols>
  <sheetData>
    <row r="1" spans="1:5" ht="38.15" customHeight="1" x14ac:dyDescent="0.35">
      <c r="A1" s="572" t="s">
        <v>397</v>
      </c>
      <c r="B1" s="572"/>
      <c r="C1" s="572"/>
      <c r="D1" s="572"/>
      <c r="E1" s="572"/>
    </row>
    <row r="2" spans="1:5" ht="24.65" customHeight="1" x14ac:dyDescent="0.45">
      <c r="A2" s="119" t="s">
        <v>398</v>
      </c>
      <c r="B2" s="120"/>
      <c r="C2" s="120"/>
      <c r="D2" s="120"/>
      <c r="E2" s="16"/>
    </row>
    <row r="3" spans="1:5" ht="24.65" hidden="1" customHeight="1" x14ac:dyDescent="0.35"/>
    <row r="4" spans="1:5" ht="24.65" hidden="1" customHeight="1" x14ac:dyDescent="0.35">
      <c r="A4" s="125" t="s">
        <v>399</v>
      </c>
      <c r="B4" s="125"/>
      <c r="C4" s="125" t="s">
        <v>400</v>
      </c>
    </row>
    <row r="5" spans="1:5" hidden="1" x14ac:dyDescent="0.35">
      <c r="A5" s="123" t="s">
        <v>401</v>
      </c>
      <c r="B5" s="126">
        <f>Summary!C42</f>
        <v>5029206.25</v>
      </c>
      <c r="C5" s="123" t="s">
        <v>401</v>
      </c>
      <c r="D5" s="126">
        <f>Summary!C42</f>
        <v>5029206.25</v>
      </c>
    </row>
    <row r="6" spans="1:5" hidden="1" x14ac:dyDescent="0.35">
      <c r="A6" s="123" t="s">
        <v>111</v>
      </c>
      <c r="B6" s="126">
        <f>Summary!C6</f>
        <v>4447567.5</v>
      </c>
      <c r="C6" s="123" t="s">
        <v>111</v>
      </c>
      <c r="D6" s="126">
        <f>Summary!C6</f>
        <v>4447567.5</v>
      </c>
    </row>
    <row r="7" spans="1:5" hidden="1" x14ac:dyDescent="0.35">
      <c r="A7" s="123" t="s">
        <v>402</v>
      </c>
      <c r="B7" s="126">
        <f>'CAPEX - Waterfall'!M41</f>
        <v>4441390</v>
      </c>
      <c r="C7" s="123" t="s">
        <v>177</v>
      </c>
      <c r="D7" s="126">
        <f>'CAPEX - Agile'!U70</f>
        <v>0</v>
      </c>
    </row>
    <row r="8" spans="1:5" hidden="1" x14ac:dyDescent="0.35">
      <c r="A8" s="124" t="s">
        <v>403</v>
      </c>
      <c r="B8" s="126">
        <f>'CAPEX - Waterfall'!N41</f>
        <v>4438807.5</v>
      </c>
      <c r="C8" s="124" t="s">
        <v>403</v>
      </c>
      <c r="D8" s="126">
        <f>'CAPEX - Agile'!V70</f>
        <v>0</v>
      </c>
    </row>
    <row r="9" spans="1:5" hidden="1" x14ac:dyDescent="0.35">
      <c r="A9" s="124" t="s">
        <v>404</v>
      </c>
      <c r="B9" s="126">
        <f>SUM(B10:B11)</f>
        <v>8760</v>
      </c>
      <c r="C9" s="124" t="s">
        <v>404</v>
      </c>
      <c r="D9" s="126">
        <f>SUM(D10:D11)</f>
        <v>0</v>
      </c>
    </row>
    <row r="10" spans="1:5" hidden="1" x14ac:dyDescent="0.35">
      <c r="A10" s="127" t="s">
        <v>405</v>
      </c>
      <c r="B10" s="126">
        <f>'CAPEX - Waterfall'!O41</f>
        <v>6300</v>
      </c>
      <c r="C10" s="127" t="s">
        <v>405</v>
      </c>
      <c r="D10" s="126">
        <f>'CAPEX - Agile'!W70</f>
        <v>0</v>
      </c>
    </row>
    <row r="11" spans="1:5" hidden="1" x14ac:dyDescent="0.35">
      <c r="A11" s="127" t="s">
        <v>406</v>
      </c>
      <c r="B11" s="126">
        <f>'CAPEX - Waterfall'!P41</f>
        <v>2460</v>
      </c>
      <c r="C11" s="127" t="s">
        <v>406</v>
      </c>
      <c r="D11" s="126">
        <f>'CAPEX - Agile'!X70</f>
        <v>0</v>
      </c>
    </row>
    <row r="12" spans="1:5" hidden="1" x14ac:dyDescent="0.35"/>
    <row r="13" spans="1:5" ht="24.65" hidden="1" customHeight="1" x14ac:dyDescent="0.35"/>
    <row r="14" spans="1:5" ht="18" x14ac:dyDescent="0.35">
      <c r="A14" s="31" t="s">
        <v>407</v>
      </c>
      <c r="B14" s="29" t="str">
        <f>Summary!B2</f>
        <v>Waterfall</v>
      </c>
    </row>
    <row r="15" spans="1:5" ht="18" x14ac:dyDescent="0.35">
      <c r="A15" s="31" t="s">
        <v>408</v>
      </c>
      <c r="B15" s="30">
        <f>Summary!$C$42</f>
        <v>5029206.25</v>
      </c>
    </row>
    <row r="16" spans="1:5" ht="18" x14ac:dyDescent="0.35">
      <c r="A16" s="31" t="s">
        <v>409</v>
      </c>
      <c r="B16" s="30">
        <f>Summary!C6</f>
        <v>4447567.5</v>
      </c>
    </row>
    <row r="17" spans="1:9" ht="36" x14ac:dyDescent="0.35">
      <c r="A17" s="31" t="s">
        <v>410</v>
      </c>
      <c r="B17" s="30">
        <f>IF(Summary!B2="Agile",D7,B7)</f>
        <v>4441390</v>
      </c>
      <c r="C17" s="129"/>
    </row>
    <row r="18" spans="1:9" ht="18" x14ac:dyDescent="0.35">
      <c r="A18" s="31" t="s">
        <v>403</v>
      </c>
      <c r="B18" s="30">
        <f>IF(Summary!B2="Agile",D8, B8)</f>
        <v>4438807.5</v>
      </c>
      <c r="C18" s="3"/>
    </row>
    <row r="19" spans="1:9" ht="18" x14ac:dyDescent="0.35">
      <c r="A19" s="31" t="s">
        <v>404</v>
      </c>
      <c r="B19" s="30">
        <f>IF(Summary!B2="Agile",D9, B9)</f>
        <v>8760</v>
      </c>
      <c r="C19" s="3"/>
    </row>
    <row r="20" spans="1:9" ht="18" x14ac:dyDescent="0.35">
      <c r="A20" s="128" t="s">
        <v>405</v>
      </c>
      <c r="B20" s="30">
        <f>IF(Summary!B2="Agile",D10, B10)</f>
        <v>6300</v>
      </c>
      <c r="C20" s="3"/>
    </row>
    <row r="21" spans="1:9" ht="18" x14ac:dyDescent="0.35">
      <c r="A21" s="128" t="s">
        <v>406</v>
      </c>
      <c r="B21" s="30">
        <f>IF(Summary!B2="Agile",D11, B11)</f>
        <v>2460</v>
      </c>
      <c r="C21" s="3"/>
    </row>
    <row r="22" spans="1:9" x14ac:dyDescent="0.35">
      <c r="H22" s="2"/>
      <c r="I22" s="2"/>
    </row>
    <row r="23" spans="1:9" ht="14.75" customHeight="1" x14ac:dyDescent="0.35">
      <c r="A23" s="570"/>
      <c r="B23" s="570" t="s">
        <v>411</v>
      </c>
      <c r="C23" s="570" t="s">
        <v>412</v>
      </c>
      <c r="D23" s="570" t="s">
        <v>413</v>
      </c>
      <c r="E23" s="570" t="s">
        <v>414</v>
      </c>
    </row>
    <row r="24" spans="1:9" x14ac:dyDescent="0.35">
      <c r="A24" s="571"/>
      <c r="B24" s="571"/>
      <c r="C24" s="571"/>
      <c r="D24" s="571"/>
      <c r="E24" s="571"/>
    </row>
    <row r="25" spans="1:9" ht="56.75" customHeight="1" x14ac:dyDescent="0.35">
      <c r="A25" s="43" t="s">
        <v>415</v>
      </c>
      <c r="B25" s="131">
        <f>B17</f>
        <v>4441390</v>
      </c>
      <c r="C25" s="69" t="s">
        <v>416</v>
      </c>
      <c r="D25" s="18">
        <f>B25/B15</f>
        <v>0.88311947834710502</v>
      </c>
      <c r="E25" s="15" t="str">
        <f>IF($D$25&gt; 15%, "Governance cost is more than 15% of total cost, please revisit OR provide justification!", "Governance cost is within 15%. You're good.")</f>
        <v>Governance cost is more than 15% of total cost, please revisit OR provide justification!</v>
      </c>
    </row>
    <row r="26" spans="1:9" x14ac:dyDescent="0.35">
      <c r="A26" s="67" t="s">
        <v>417</v>
      </c>
      <c r="B26" s="67"/>
      <c r="C26" s="67"/>
      <c r="D26" s="67"/>
      <c r="E26" s="67"/>
    </row>
    <row r="27" spans="1:9" ht="58.25" customHeight="1" x14ac:dyDescent="0.35">
      <c r="A27" s="70" t="s">
        <v>418</v>
      </c>
      <c r="B27" s="131">
        <f>B20</f>
        <v>6300</v>
      </c>
      <c r="C27" s="130" t="s">
        <v>419</v>
      </c>
      <c r="D27" s="18">
        <f>B27/B19</f>
        <v>0.71917808219178081</v>
      </c>
      <c r="E27" s="15" t="str">
        <f>IF($D$27&gt; 30%, "Onsite is more than 30% of total External cost, please revisit OR provide justification!", "Onsite Cost is within 30%. You're good.")</f>
        <v>Onsite is more than 30% of total External cost, please revisit OR provide justification!</v>
      </c>
    </row>
  </sheetData>
  <sheetProtection algorithmName="SHA-512" hashValue="ZCWOKNUP0CzgKYgugJ06Kxx3pSa6DwmCt1txLsVOSbpyTnBJs8JOdLlWoDQarppOPhEhTF7764zpNZOVmDM/2g==" saltValue="P31gR8KBR9jCWgZlKSWS5w==" spinCount="100000" sheet="1" objects="1" scenarios="1"/>
  <mergeCells count="6">
    <mergeCell ref="E23:E24"/>
    <mergeCell ref="A1:E1"/>
    <mergeCell ref="C23:C24"/>
    <mergeCell ref="B23:B24"/>
    <mergeCell ref="A23:A24"/>
    <mergeCell ref="D23:D24"/>
  </mergeCells>
  <conditionalFormatting sqref="E25">
    <cfRule type="containsText" dxfId="1" priority="2" operator="containsText" text="Governance cost is more than">
      <formula>NOT(ISERROR(SEARCH("Governance cost is more than",E25)))</formula>
    </cfRule>
  </conditionalFormatting>
  <conditionalFormatting sqref="E27">
    <cfRule type="containsText" dxfId="0" priority="1" operator="containsText" text="Onsite is more than">
      <formula>NOT(ISERROR(SEARCH("Onsite is more than",E27)))</formula>
    </cfRule>
  </conditionalFormatting>
  <pageMargins left="0.7" right="0.7" top="0.75" bottom="0.75" header="0.3" footer="0.3"/>
  <pageSetup paperSize="9" orientation="portrait" r:id="rId1"/>
  <headerFooter>
    <oddFooter>&amp;C_x000D_&amp;1#&amp;"Calibri"&amp;10&amp;K000000 Restricted : General Al-Futtaim Group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129AB-0A62-4BF4-8F17-C25924C7DCAA}">
  <dimension ref="A1:P19"/>
  <sheetViews>
    <sheetView zoomScale="90" zoomScaleNormal="90" workbookViewId="0">
      <selection activeCell="P31" sqref="P31"/>
    </sheetView>
  </sheetViews>
  <sheetFormatPr defaultRowHeight="14.5" x14ac:dyDescent="0.35"/>
  <sheetData>
    <row r="1" spans="1:16" ht="34.5" customHeight="1" x14ac:dyDescent="0.35">
      <c r="A1" s="573" t="s">
        <v>420</v>
      </c>
      <c r="B1" s="573"/>
      <c r="C1" s="573"/>
      <c r="D1" s="573"/>
      <c r="E1" s="573"/>
      <c r="F1" s="573"/>
      <c r="G1" s="573"/>
      <c r="H1" s="573"/>
      <c r="I1" s="573"/>
      <c r="J1" s="573"/>
      <c r="K1" s="573"/>
      <c r="L1" s="573"/>
      <c r="M1" s="573"/>
      <c r="N1" s="573"/>
      <c r="O1" s="573"/>
      <c r="P1" s="101"/>
    </row>
    <row r="2" spans="1:16" s="28" customFormat="1" ht="15.5" x14ac:dyDescent="0.35"/>
    <row r="3" spans="1:16" s="28" customFormat="1" ht="15.5" x14ac:dyDescent="0.35"/>
    <row r="4" spans="1:16" s="28" customFormat="1" ht="15.5" x14ac:dyDescent="0.35"/>
    <row r="5" spans="1:16" s="28" customFormat="1" ht="15.5" x14ac:dyDescent="0.35"/>
    <row r="6" spans="1:16" s="28" customFormat="1" ht="15.5" x14ac:dyDescent="0.35"/>
    <row r="7" spans="1:16" s="28" customFormat="1" ht="15.5" x14ac:dyDescent="0.35"/>
    <row r="8" spans="1:16" s="28" customFormat="1" ht="15.5" x14ac:dyDescent="0.35"/>
    <row r="9" spans="1:16" s="28" customFormat="1" ht="15.5" x14ac:dyDescent="0.35"/>
    <row r="10" spans="1:16" s="28" customFormat="1" ht="15.5" x14ac:dyDescent="0.35"/>
    <row r="11" spans="1:16" s="28" customFormat="1" ht="15.5" x14ac:dyDescent="0.35"/>
    <row r="12" spans="1:16" s="28" customFormat="1" ht="15.5" x14ac:dyDescent="0.35"/>
    <row r="13" spans="1:16" s="28" customFormat="1" ht="15.5" x14ac:dyDescent="0.35"/>
    <row r="14" spans="1:16" s="28" customFormat="1" ht="15.5" x14ac:dyDescent="0.35"/>
    <row r="15" spans="1:16" s="28" customFormat="1" ht="15.5" x14ac:dyDescent="0.35"/>
    <row r="16" spans="1:16" s="28" customFormat="1" ht="15.5" x14ac:dyDescent="0.35"/>
    <row r="17" s="28" customFormat="1" ht="15.5" x14ac:dyDescent="0.35"/>
    <row r="18" s="28" customFormat="1" ht="47.15" customHeight="1" x14ac:dyDescent="0.35"/>
    <row r="19" s="28" customFormat="1" ht="15.5" x14ac:dyDescent="0.35"/>
  </sheetData>
  <sheetProtection algorithmName="SHA-512" hashValue="dLYooVbMRGfuibiKnSgjmqSPT7Bnj5zdFSteJfdG0xlCcfvwooiD61sPHFW3lkcTdu9G+1w9Irf/Udp7tT4Llw==" saltValue="UR5vdEl7E2vxgkHRPfpsdg==" spinCount="100000" sheet="1" objects="1" scenarios="1"/>
  <mergeCells count="1">
    <mergeCell ref="A1:O1"/>
  </mergeCells>
  <pageMargins left="0.7" right="0.7" top="0.75" bottom="0.75" header="0.3" footer="0.3"/>
  <pageSetup paperSize="9" orientation="portrait" r:id="rId1"/>
  <headerFooter>
    <oddFooter>&amp;C_x000D_&amp;1#&amp;"Calibri"&amp;10&amp;K000000 Restricted : General Al-Futtaim Group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7F726-29E5-47CE-97BB-F74C95236E35}">
  <dimension ref="A1:F20"/>
  <sheetViews>
    <sheetView showGridLines="0" workbookViewId="0">
      <selection activeCell="D11" sqref="D11"/>
    </sheetView>
  </sheetViews>
  <sheetFormatPr defaultColWidth="0" defaultRowHeight="14.5" zeroHeight="1" x14ac:dyDescent="0.35"/>
  <cols>
    <col min="1" max="1" width="8.6328125" customWidth="1"/>
    <col min="2" max="2" width="10" customWidth="1"/>
    <col min="3" max="3" width="47.6328125" customWidth="1"/>
    <col min="4" max="4" width="26" customWidth="1"/>
    <col min="5" max="5" width="15.36328125" customWidth="1"/>
    <col min="6" max="6" width="8.6328125" customWidth="1"/>
    <col min="7" max="16384" width="8.6328125" hidden="1"/>
  </cols>
  <sheetData>
    <row r="1" spans="2:5" x14ac:dyDescent="0.35"/>
    <row r="2" spans="2:5" x14ac:dyDescent="0.35">
      <c r="B2" s="574"/>
      <c r="C2" s="574"/>
    </row>
    <row r="3" spans="2:5" x14ac:dyDescent="0.35">
      <c r="B3" s="574"/>
      <c r="C3" s="574"/>
    </row>
    <row r="4" spans="2:5" x14ac:dyDescent="0.35"/>
    <row r="5" spans="2:5" x14ac:dyDescent="0.35">
      <c r="B5" s="2" t="s">
        <v>421</v>
      </c>
      <c r="C5" s="1" t="s">
        <v>422</v>
      </c>
      <c r="D5" s="1" t="s">
        <v>423</v>
      </c>
      <c r="E5" s="2" t="s">
        <v>424</v>
      </c>
    </row>
    <row r="6" spans="2:5" x14ac:dyDescent="0.35">
      <c r="B6" s="2">
        <v>1.4</v>
      </c>
      <c r="C6" s="1" t="s">
        <v>425</v>
      </c>
      <c r="D6" s="1" t="s">
        <v>426</v>
      </c>
      <c r="E6" s="181"/>
    </row>
    <row r="7" spans="2:5" x14ac:dyDescent="0.35">
      <c r="B7" s="2">
        <v>1.5</v>
      </c>
      <c r="C7" s="1" t="s">
        <v>427</v>
      </c>
      <c r="D7" s="1" t="s">
        <v>428</v>
      </c>
      <c r="E7" s="181">
        <v>45355</v>
      </c>
    </row>
    <row r="8" spans="2:5" x14ac:dyDescent="0.35">
      <c r="B8" s="2">
        <v>1.6</v>
      </c>
      <c r="C8" s="1" t="s">
        <v>429</v>
      </c>
      <c r="D8" s="1" t="s">
        <v>428</v>
      </c>
      <c r="E8" s="181">
        <v>45407</v>
      </c>
    </row>
    <row r="9" spans="2:5" x14ac:dyDescent="0.35">
      <c r="B9" s="2">
        <v>1.7</v>
      </c>
      <c r="C9" s="1" t="s">
        <v>430</v>
      </c>
      <c r="D9" s="1" t="s">
        <v>431</v>
      </c>
      <c r="E9" s="181">
        <v>45399</v>
      </c>
    </row>
    <row r="10" spans="2:5" x14ac:dyDescent="0.35">
      <c r="B10" s="2">
        <v>1.9</v>
      </c>
      <c r="C10" s="1" t="s">
        <v>430</v>
      </c>
      <c r="D10" s="1" t="s">
        <v>431</v>
      </c>
      <c r="E10" s="181">
        <v>45770</v>
      </c>
    </row>
    <row r="11" spans="2:5" x14ac:dyDescent="0.35">
      <c r="B11" s="2">
        <v>1.91</v>
      </c>
      <c r="C11" s="1" t="s">
        <v>468</v>
      </c>
      <c r="D11" s="1" t="s">
        <v>467</v>
      </c>
      <c r="E11" s="181">
        <v>45811</v>
      </c>
    </row>
    <row r="12" spans="2:5" x14ac:dyDescent="0.35"/>
    <row r="13" spans="2:5" x14ac:dyDescent="0.35"/>
    <row r="14" spans="2:5" x14ac:dyDescent="0.35"/>
    <row r="15" spans="2:5" x14ac:dyDescent="0.35"/>
    <row r="16" spans="2:5" x14ac:dyDescent="0.35"/>
    <row r="17" x14ac:dyDescent="0.35"/>
    <row r="18" x14ac:dyDescent="0.35"/>
    <row r="19" x14ac:dyDescent="0.35"/>
    <row r="20" x14ac:dyDescent="0.35"/>
  </sheetData>
  <sheetProtection sheet="1" objects="1" scenarios="1" selectLockedCells="1" selectUnlockedCells="1"/>
  <mergeCells count="1">
    <mergeCell ref="B2:C3"/>
  </mergeCells>
  <pageMargins left="0.7" right="0.7" top="0.75" bottom="0.75" header="0.3" footer="0.3"/>
  <pageSetup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CED0D-14BE-46AA-87E8-43906258B8AF}">
  <dimension ref="A1:U86"/>
  <sheetViews>
    <sheetView topLeftCell="K1" zoomScale="85" zoomScaleNormal="85" workbookViewId="0">
      <selection activeCell="R14" sqref="R14"/>
    </sheetView>
  </sheetViews>
  <sheetFormatPr defaultRowHeight="14.5" x14ac:dyDescent="0.35"/>
  <cols>
    <col min="1" max="1" width="43.6328125" bestFit="1" customWidth="1"/>
    <col min="2" max="2" width="28.54296875" bestFit="1" customWidth="1"/>
    <col min="3" max="3" width="31.36328125" bestFit="1" customWidth="1"/>
    <col min="4" max="4" width="23.36328125" bestFit="1" customWidth="1"/>
    <col min="5" max="5" width="14.453125" bestFit="1" customWidth="1"/>
    <col min="6" max="6" width="14.453125" customWidth="1"/>
    <col min="7" max="7" width="23.54296875" bestFit="1" customWidth="1"/>
    <col min="8" max="8" width="41.54296875" bestFit="1" customWidth="1"/>
    <col min="9" max="9" width="34.6328125" bestFit="1" customWidth="1"/>
    <col min="10" max="10" width="23" bestFit="1" customWidth="1"/>
    <col min="11" max="11" width="23" customWidth="1"/>
    <col min="12" max="12" width="29.6328125" bestFit="1" customWidth="1"/>
    <col min="14" max="16" width="8.90625" customWidth="1"/>
    <col min="17" max="17" width="38.90625" customWidth="1"/>
    <col min="18" max="18" width="14.36328125" customWidth="1"/>
    <col min="19" max="19" width="11.6328125" customWidth="1"/>
    <col min="20" max="20" width="11.90625" customWidth="1"/>
    <col min="21" max="21" width="16.54296875" bestFit="1" customWidth="1"/>
  </cols>
  <sheetData>
    <row r="1" spans="1:21" x14ac:dyDescent="0.35">
      <c r="A1" s="17" t="s">
        <v>432</v>
      </c>
    </row>
    <row r="3" spans="1:21" x14ac:dyDescent="0.35">
      <c r="A3" t="s">
        <v>433</v>
      </c>
      <c r="B3" t="s">
        <v>7</v>
      </c>
      <c r="C3" t="s">
        <v>434</v>
      </c>
      <c r="D3" t="s">
        <v>310</v>
      </c>
    </row>
    <row r="4" spans="1:21" s="182" customFormat="1" ht="29" x14ac:dyDescent="0.35">
      <c r="B4" s="182" t="s">
        <v>399</v>
      </c>
      <c r="D4" s="182" t="s">
        <v>435</v>
      </c>
      <c r="Q4" s="214" t="s">
        <v>436</v>
      </c>
      <c r="R4" s="215" t="s">
        <v>172</v>
      </c>
      <c r="S4" s="215" t="s">
        <v>189</v>
      </c>
      <c r="T4" s="215" t="s">
        <v>254</v>
      </c>
      <c r="U4" s="215" t="s">
        <v>180</v>
      </c>
    </row>
    <row r="5" spans="1:21" x14ac:dyDescent="0.35">
      <c r="Q5" s="213" t="s">
        <v>197</v>
      </c>
      <c r="R5" s="211">
        <v>1986</v>
      </c>
      <c r="S5" s="213">
        <v>1850</v>
      </c>
      <c r="T5" s="213">
        <v>1300</v>
      </c>
      <c r="U5" s="213">
        <v>615</v>
      </c>
    </row>
    <row r="6" spans="1:21" x14ac:dyDescent="0.35">
      <c r="Q6" s="213" t="s">
        <v>333</v>
      </c>
      <c r="R6" s="211">
        <v>2300</v>
      </c>
      <c r="S6" s="213">
        <v>1850</v>
      </c>
      <c r="T6" s="213">
        <v>1300</v>
      </c>
      <c r="U6" s="213">
        <v>615</v>
      </c>
    </row>
    <row r="7" spans="1:21" x14ac:dyDescent="0.35">
      <c r="Q7" s="213" t="s">
        <v>437</v>
      </c>
      <c r="R7" s="211">
        <v>2000</v>
      </c>
      <c r="S7" s="213">
        <v>1850</v>
      </c>
      <c r="T7" s="213">
        <v>1300</v>
      </c>
      <c r="U7" s="213">
        <v>615</v>
      </c>
    </row>
    <row r="8" spans="1:21" x14ac:dyDescent="0.35">
      <c r="O8" t="s">
        <v>438</v>
      </c>
      <c r="P8" t="s">
        <v>439</v>
      </c>
      <c r="Q8" s="213" t="s">
        <v>192</v>
      </c>
      <c r="R8" s="211">
        <v>2175</v>
      </c>
      <c r="S8" s="213">
        <v>1850</v>
      </c>
      <c r="T8" s="213">
        <v>1300</v>
      </c>
      <c r="U8" s="213">
        <v>615</v>
      </c>
    </row>
    <row r="9" spans="1:21" x14ac:dyDescent="0.35">
      <c r="O9" t="s">
        <v>440</v>
      </c>
      <c r="P9" t="s">
        <v>441</v>
      </c>
      <c r="Q9" s="213" t="s">
        <v>188</v>
      </c>
      <c r="R9" s="211">
        <v>2224</v>
      </c>
      <c r="S9" s="213">
        <v>1850</v>
      </c>
      <c r="T9" s="213">
        <v>1300</v>
      </c>
      <c r="U9" s="213">
        <v>615</v>
      </c>
    </row>
    <row r="10" spans="1:21" x14ac:dyDescent="0.35">
      <c r="Q10" s="213" t="s">
        <v>185</v>
      </c>
      <c r="R10" s="211">
        <v>2757</v>
      </c>
      <c r="S10" s="213">
        <v>1850</v>
      </c>
      <c r="T10" s="213">
        <v>1300</v>
      </c>
      <c r="U10" s="213">
        <v>615</v>
      </c>
    </row>
    <row r="11" spans="1:21" x14ac:dyDescent="0.35">
      <c r="Q11" s="213" t="s">
        <v>249</v>
      </c>
      <c r="R11" s="211">
        <v>2300</v>
      </c>
      <c r="S11" s="213">
        <v>1850</v>
      </c>
      <c r="T11" s="213">
        <v>1300</v>
      </c>
      <c r="U11" s="213">
        <v>615</v>
      </c>
    </row>
    <row r="12" spans="1:21" x14ac:dyDescent="0.35">
      <c r="Q12" s="213" t="s">
        <v>247</v>
      </c>
      <c r="R12" s="211">
        <v>2000</v>
      </c>
      <c r="S12" s="213">
        <v>1850</v>
      </c>
      <c r="T12" s="213">
        <v>1300</v>
      </c>
      <c r="U12" s="213">
        <v>615</v>
      </c>
    </row>
    <row r="13" spans="1:21" x14ac:dyDescent="0.35">
      <c r="Q13" s="213" t="s">
        <v>199</v>
      </c>
      <c r="R13" s="211">
        <v>2400</v>
      </c>
      <c r="S13" s="213">
        <v>1850</v>
      </c>
      <c r="T13" s="213">
        <v>1300</v>
      </c>
      <c r="U13" s="213">
        <v>615</v>
      </c>
    </row>
    <row r="14" spans="1:21" ht="15.5" x14ac:dyDescent="0.35">
      <c r="A14" s="28" t="s">
        <v>442</v>
      </c>
      <c r="C14" s="28" t="s">
        <v>196</v>
      </c>
      <c r="D14" s="28" t="s">
        <v>187</v>
      </c>
      <c r="E14" s="28" t="s">
        <v>246</v>
      </c>
      <c r="F14" s="28" t="s">
        <v>443</v>
      </c>
      <c r="G14" s="28" t="s">
        <v>170</v>
      </c>
      <c r="H14" s="28" t="s">
        <v>200</v>
      </c>
      <c r="I14" s="28" t="s">
        <v>182</v>
      </c>
      <c r="J14" s="28" t="s">
        <v>444</v>
      </c>
      <c r="K14" s="28" t="s">
        <v>203</v>
      </c>
      <c r="L14" s="28" t="s">
        <v>174</v>
      </c>
      <c r="M14" s="28"/>
      <c r="N14" s="28"/>
      <c r="O14" s="28"/>
      <c r="Q14" s="213" t="s">
        <v>194</v>
      </c>
      <c r="R14" s="211">
        <v>2575</v>
      </c>
      <c r="S14" s="213">
        <v>1850</v>
      </c>
      <c r="T14" s="213">
        <v>1300</v>
      </c>
      <c r="U14" s="213">
        <v>615</v>
      </c>
    </row>
    <row r="15" spans="1:21" ht="15.5" x14ac:dyDescent="0.35">
      <c r="A15" s="28" t="s">
        <v>196</v>
      </c>
      <c r="C15" s="28" t="s">
        <v>197</v>
      </c>
      <c r="D15" s="28" t="s">
        <v>192</v>
      </c>
      <c r="E15" s="28" t="s">
        <v>247</v>
      </c>
      <c r="F15" s="28" t="s">
        <v>199</v>
      </c>
      <c r="G15" s="28" t="s">
        <v>194</v>
      </c>
      <c r="H15" s="28" t="s">
        <v>252</v>
      </c>
      <c r="I15" s="28" t="s">
        <v>183</v>
      </c>
      <c r="J15" s="28" t="s">
        <v>445</v>
      </c>
      <c r="K15" s="212" t="s">
        <v>204</v>
      </c>
      <c r="L15" t="s">
        <v>201</v>
      </c>
      <c r="M15" s="28"/>
      <c r="N15" s="28"/>
      <c r="O15" s="28"/>
      <c r="Q15" s="213" t="s">
        <v>171</v>
      </c>
      <c r="R15" s="211">
        <v>2900</v>
      </c>
      <c r="S15" s="213">
        <v>1850</v>
      </c>
      <c r="T15" s="213">
        <v>1300</v>
      </c>
      <c r="U15" s="213">
        <v>615</v>
      </c>
    </row>
    <row r="16" spans="1:21" ht="14.15" customHeight="1" x14ac:dyDescent="0.35">
      <c r="A16" s="28" t="s">
        <v>187</v>
      </c>
      <c r="C16" s="28" t="s">
        <v>333</v>
      </c>
      <c r="D16" s="28" t="s">
        <v>188</v>
      </c>
      <c r="E16" s="28"/>
      <c r="F16" s="28" t="s">
        <v>333</v>
      </c>
      <c r="G16" s="28" t="s">
        <v>171</v>
      </c>
      <c r="H16" s="28" t="s">
        <v>250</v>
      </c>
      <c r="I16" s="28" t="s">
        <v>370</v>
      </c>
      <c r="J16" s="28"/>
      <c r="K16" s="212" t="s">
        <v>446</v>
      </c>
      <c r="L16" t="s">
        <v>177</v>
      </c>
      <c r="M16" s="28"/>
      <c r="N16" s="28"/>
      <c r="O16" s="28"/>
      <c r="Q16" s="213" t="s">
        <v>252</v>
      </c>
      <c r="R16" s="211">
        <v>1913</v>
      </c>
      <c r="S16" s="213">
        <v>1400</v>
      </c>
      <c r="T16" s="213">
        <v>1400</v>
      </c>
      <c r="U16" s="213">
        <v>1400</v>
      </c>
    </row>
    <row r="17" spans="1:21" ht="14.15" customHeight="1" x14ac:dyDescent="0.35">
      <c r="A17" s="28" t="s">
        <v>247</v>
      </c>
      <c r="C17" s="28" t="s">
        <v>437</v>
      </c>
      <c r="D17" s="28" t="s">
        <v>185</v>
      </c>
      <c r="E17" s="28"/>
      <c r="F17" s="28"/>
      <c r="G17" s="28" t="s">
        <v>255</v>
      </c>
      <c r="H17" s="28" t="s">
        <v>447</v>
      </c>
      <c r="I17" s="28"/>
      <c r="J17" s="28"/>
      <c r="K17" s="212" t="s">
        <v>448</v>
      </c>
      <c r="L17" t="s">
        <v>169</v>
      </c>
      <c r="M17" s="28"/>
      <c r="N17" s="28"/>
      <c r="O17" s="28"/>
      <c r="Q17" s="213" t="s">
        <v>250</v>
      </c>
      <c r="R17" s="211">
        <v>1800</v>
      </c>
      <c r="S17" s="213">
        <v>1400</v>
      </c>
      <c r="T17" s="213">
        <v>1400</v>
      </c>
      <c r="U17" s="213">
        <v>1400</v>
      </c>
    </row>
    <row r="18" spans="1:21" ht="14.15" customHeight="1" x14ac:dyDescent="0.35">
      <c r="A18" s="28" t="s">
        <v>198</v>
      </c>
      <c r="C18" s="28"/>
      <c r="D18" s="28" t="s">
        <v>249</v>
      </c>
      <c r="E18" s="28"/>
      <c r="F18" s="28"/>
      <c r="G18" s="28"/>
      <c r="H18" s="28" t="s">
        <v>449</v>
      </c>
      <c r="I18" s="28"/>
      <c r="J18" s="28"/>
      <c r="K18" s="212" t="s">
        <v>205</v>
      </c>
      <c r="L18" s="28" t="s">
        <v>305</v>
      </c>
      <c r="M18" s="28"/>
      <c r="N18" s="28"/>
      <c r="O18" s="28"/>
      <c r="Q18" s="213" t="s">
        <v>447</v>
      </c>
      <c r="R18" s="211">
        <v>1613</v>
      </c>
      <c r="S18" s="213">
        <v>900</v>
      </c>
      <c r="T18" s="213">
        <v>900</v>
      </c>
      <c r="U18" s="213">
        <v>900</v>
      </c>
    </row>
    <row r="19" spans="1:21" ht="14.15" customHeight="1" x14ac:dyDescent="0.35">
      <c r="A19" s="28" t="s">
        <v>170</v>
      </c>
      <c r="C19" s="28"/>
      <c r="D19" s="28" t="s">
        <v>255</v>
      </c>
      <c r="E19" s="28"/>
      <c r="F19" s="28"/>
      <c r="G19" s="28"/>
      <c r="H19" s="28" t="s">
        <v>450</v>
      </c>
      <c r="I19" s="28"/>
      <c r="J19" s="28"/>
      <c r="K19" s="212" t="s">
        <v>206</v>
      </c>
      <c r="L19" s="28" t="s">
        <v>451</v>
      </c>
      <c r="M19" s="28"/>
      <c r="N19" s="28"/>
      <c r="O19" s="28"/>
      <c r="Q19" s="213" t="s">
        <v>201</v>
      </c>
      <c r="R19" s="211">
        <v>1200</v>
      </c>
      <c r="S19" s="213">
        <v>1850</v>
      </c>
      <c r="T19" s="213">
        <v>1300</v>
      </c>
      <c r="U19" s="213">
        <v>615</v>
      </c>
    </row>
    <row r="20" spans="1:21" ht="14.15" customHeight="1" x14ac:dyDescent="0.35">
      <c r="A20" s="28" t="s">
        <v>200</v>
      </c>
      <c r="C20" s="28"/>
      <c r="D20" s="28"/>
      <c r="E20" s="28"/>
      <c r="F20" s="28"/>
      <c r="G20" s="28"/>
      <c r="H20" s="28"/>
      <c r="I20" s="28"/>
      <c r="J20" s="28"/>
      <c r="K20" s="212" t="s">
        <v>207</v>
      </c>
      <c r="L20" s="28" t="s">
        <v>452</v>
      </c>
      <c r="M20" s="28"/>
      <c r="N20" s="28"/>
      <c r="O20" s="28"/>
      <c r="Q20" s="213" t="s">
        <v>183</v>
      </c>
      <c r="R20" s="211">
        <v>2857</v>
      </c>
      <c r="S20" s="213">
        <v>2200</v>
      </c>
      <c r="T20" s="213">
        <v>2200</v>
      </c>
      <c r="U20" s="213">
        <v>2200</v>
      </c>
    </row>
    <row r="21" spans="1:21" ht="15.5" x14ac:dyDescent="0.35">
      <c r="A21" s="28" t="s">
        <v>453</v>
      </c>
      <c r="C21" s="28"/>
      <c r="D21" s="28"/>
      <c r="E21" s="28"/>
      <c r="F21" s="28"/>
      <c r="G21" s="28"/>
      <c r="H21" s="28"/>
      <c r="I21" s="28"/>
      <c r="J21" s="28"/>
      <c r="K21" s="212" t="s">
        <v>454</v>
      </c>
      <c r="L21" s="28" t="s">
        <v>175</v>
      </c>
      <c r="M21" s="28"/>
      <c r="N21" s="28"/>
      <c r="O21" s="28"/>
      <c r="Q21" s="213" t="s">
        <v>370</v>
      </c>
      <c r="R21" s="211">
        <v>2825</v>
      </c>
      <c r="S21" s="213">
        <v>2200</v>
      </c>
      <c r="T21" s="213">
        <v>2200</v>
      </c>
      <c r="U21" s="213">
        <v>2200</v>
      </c>
    </row>
    <row r="22" spans="1:21" ht="15.5" x14ac:dyDescent="0.35">
      <c r="A22" s="28" t="s">
        <v>455</v>
      </c>
      <c r="C22" s="28"/>
      <c r="D22" s="28"/>
      <c r="E22" s="28"/>
      <c r="F22" s="28"/>
      <c r="G22" s="28"/>
      <c r="H22" s="28"/>
      <c r="I22" s="28"/>
      <c r="J22" s="28"/>
      <c r="K22" s="212" t="s">
        <v>456</v>
      </c>
      <c r="L22" s="28"/>
      <c r="M22" s="28"/>
      <c r="N22" s="28"/>
      <c r="O22" s="28"/>
      <c r="Q22" s="213" t="s">
        <v>445</v>
      </c>
      <c r="R22" s="211">
        <v>2142</v>
      </c>
      <c r="S22" s="213">
        <v>1850</v>
      </c>
      <c r="T22" s="213">
        <v>1300</v>
      </c>
      <c r="U22" s="213">
        <v>615</v>
      </c>
    </row>
    <row r="23" spans="1:21" ht="15.5" x14ac:dyDescent="0.35">
      <c r="A23" s="28" t="s">
        <v>457</v>
      </c>
      <c r="J23" s="28"/>
      <c r="K23" s="212" t="s">
        <v>458</v>
      </c>
      <c r="Q23" s="213" t="s">
        <v>177</v>
      </c>
      <c r="R23" s="211">
        <v>2422</v>
      </c>
      <c r="S23" s="213">
        <v>2100</v>
      </c>
      <c r="T23" s="213">
        <v>1300</v>
      </c>
      <c r="U23" s="213">
        <v>615</v>
      </c>
    </row>
    <row r="24" spans="1:21" ht="15.5" x14ac:dyDescent="0.35">
      <c r="J24" s="28"/>
      <c r="K24" s="212" t="s">
        <v>459</v>
      </c>
      <c r="Q24" s="213" t="s">
        <v>169</v>
      </c>
      <c r="R24" s="211">
        <v>2700</v>
      </c>
      <c r="S24" s="213">
        <v>1850</v>
      </c>
      <c r="T24" s="213">
        <v>1300</v>
      </c>
      <c r="U24" s="213">
        <v>615</v>
      </c>
    </row>
    <row r="25" spans="1:21" x14ac:dyDescent="0.35">
      <c r="Q25" s="213" t="s">
        <v>255</v>
      </c>
      <c r="R25" s="211">
        <v>1800</v>
      </c>
      <c r="S25" s="213">
        <v>1850</v>
      </c>
      <c r="T25" s="213">
        <v>1300</v>
      </c>
      <c r="U25" s="213">
        <v>615</v>
      </c>
    </row>
    <row r="26" spans="1:21" x14ac:dyDescent="0.35">
      <c r="A26" s="32"/>
      <c r="Q26" s="213" t="s">
        <v>460</v>
      </c>
      <c r="R26" s="211">
        <v>1043</v>
      </c>
      <c r="S26" s="213"/>
      <c r="T26" s="213"/>
      <c r="U26" s="213"/>
    </row>
    <row r="27" spans="1:21" x14ac:dyDescent="0.35">
      <c r="A27" s="33" t="s">
        <v>442</v>
      </c>
      <c r="B27" s="34" t="s">
        <v>461</v>
      </c>
      <c r="Q27" s="212" t="s">
        <v>305</v>
      </c>
      <c r="R27" s="211">
        <v>2200</v>
      </c>
      <c r="S27" s="213">
        <v>1850</v>
      </c>
      <c r="T27" s="213">
        <v>1300</v>
      </c>
      <c r="U27" s="213">
        <v>615</v>
      </c>
    </row>
    <row r="28" spans="1:21" x14ac:dyDescent="0.35">
      <c r="A28" s="32" t="s">
        <v>196</v>
      </c>
      <c r="B28" t="s">
        <v>197</v>
      </c>
      <c r="Q28" s="212" t="s">
        <v>451</v>
      </c>
      <c r="R28" s="211">
        <v>2200</v>
      </c>
      <c r="S28" s="213">
        <v>1850</v>
      </c>
      <c r="T28" s="213">
        <v>1300</v>
      </c>
      <c r="U28" s="213">
        <v>615</v>
      </c>
    </row>
    <row r="29" spans="1:21" x14ac:dyDescent="0.35">
      <c r="A29" s="32" t="s">
        <v>196</v>
      </c>
      <c r="B29" s="213" t="s">
        <v>333</v>
      </c>
      <c r="Q29" s="212" t="s">
        <v>452</v>
      </c>
      <c r="R29" s="211">
        <v>2433</v>
      </c>
      <c r="S29" s="213">
        <v>1850</v>
      </c>
      <c r="T29" s="213">
        <v>1300</v>
      </c>
      <c r="U29" s="213">
        <v>615</v>
      </c>
    </row>
    <row r="30" spans="1:21" x14ac:dyDescent="0.35">
      <c r="A30" s="32" t="s">
        <v>196</v>
      </c>
      <c r="B30" t="s">
        <v>437</v>
      </c>
      <c r="Q30" s="212" t="s">
        <v>175</v>
      </c>
      <c r="R30" s="211">
        <v>2433</v>
      </c>
      <c r="S30" s="213">
        <v>1850</v>
      </c>
      <c r="T30" s="213">
        <v>1300</v>
      </c>
      <c r="U30" s="213">
        <v>615</v>
      </c>
    </row>
    <row r="31" spans="1:21" x14ac:dyDescent="0.35">
      <c r="A31" s="32" t="s">
        <v>187</v>
      </c>
      <c r="B31" t="s">
        <v>192</v>
      </c>
      <c r="Q31" s="212" t="s">
        <v>449</v>
      </c>
      <c r="R31" s="211">
        <v>1900</v>
      </c>
      <c r="S31" s="213">
        <v>1850</v>
      </c>
      <c r="T31" s="213">
        <v>1300</v>
      </c>
      <c r="U31" s="213">
        <v>615</v>
      </c>
    </row>
    <row r="32" spans="1:21" x14ac:dyDescent="0.35">
      <c r="A32" s="32" t="s">
        <v>187</v>
      </c>
      <c r="B32" t="s">
        <v>255</v>
      </c>
      <c r="Q32" s="212" t="s">
        <v>450</v>
      </c>
      <c r="R32" s="211">
        <v>1400</v>
      </c>
      <c r="S32" s="213">
        <v>1850</v>
      </c>
      <c r="T32" s="213">
        <v>1300</v>
      </c>
      <c r="U32" s="213">
        <v>615</v>
      </c>
    </row>
    <row r="33" spans="1:21" x14ac:dyDescent="0.35">
      <c r="A33" s="32" t="s">
        <v>187</v>
      </c>
      <c r="B33" t="s">
        <v>188</v>
      </c>
      <c r="Q33" s="212" t="s">
        <v>204</v>
      </c>
      <c r="R33" s="211">
        <v>1800</v>
      </c>
      <c r="S33" s="213"/>
      <c r="T33" s="213"/>
      <c r="U33" s="213"/>
    </row>
    <row r="34" spans="1:21" x14ac:dyDescent="0.35">
      <c r="A34" s="32" t="s">
        <v>187</v>
      </c>
      <c r="B34" t="s">
        <v>185</v>
      </c>
      <c r="Q34" s="212" t="s">
        <v>446</v>
      </c>
      <c r="R34" s="213"/>
      <c r="S34" s="213"/>
      <c r="T34" s="213"/>
      <c r="U34" s="213"/>
    </row>
    <row r="35" spans="1:21" x14ac:dyDescent="0.35">
      <c r="A35" s="32" t="s">
        <v>187</v>
      </c>
      <c r="B35" t="s">
        <v>249</v>
      </c>
      <c r="Q35" s="212" t="s">
        <v>448</v>
      </c>
      <c r="R35" s="213"/>
      <c r="S35" s="213"/>
      <c r="T35" s="213"/>
      <c r="U35" s="213"/>
    </row>
    <row r="36" spans="1:21" x14ac:dyDescent="0.35">
      <c r="A36" s="32" t="s">
        <v>247</v>
      </c>
      <c r="B36" t="s">
        <v>247</v>
      </c>
      <c r="Q36" s="212" t="s">
        <v>205</v>
      </c>
      <c r="R36" s="213"/>
      <c r="S36" s="213"/>
      <c r="T36" s="213"/>
      <c r="U36" s="213"/>
    </row>
    <row r="37" spans="1:21" x14ac:dyDescent="0.35">
      <c r="A37" s="32" t="s">
        <v>462</v>
      </c>
      <c r="B37" t="s">
        <v>463</v>
      </c>
      <c r="Q37" s="212" t="s">
        <v>206</v>
      </c>
      <c r="R37" s="213"/>
      <c r="S37" s="213"/>
      <c r="T37" s="213"/>
      <c r="U37" s="213"/>
    </row>
    <row r="38" spans="1:21" x14ac:dyDescent="0.35">
      <c r="A38" s="32" t="s">
        <v>170</v>
      </c>
      <c r="B38" t="s">
        <v>194</v>
      </c>
      <c r="Q38" s="212" t="s">
        <v>207</v>
      </c>
      <c r="R38" s="213"/>
      <c r="S38" s="213"/>
      <c r="T38" s="213"/>
      <c r="U38" s="213"/>
    </row>
    <row r="39" spans="1:21" x14ac:dyDescent="0.35">
      <c r="A39" s="32" t="s">
        <v>170</v>
      </c>
      <c r="B39" t="s">
        <v>171</v>
      </c>
      <c r="Q39" s="212" t="s">
        <v>454</v>
      </c>
      <c r="R39" s="213"/>
      <c r="S39" s="213"/>
      <c r="T39" s="213"/>
      <c r="U39" s="213"/>
    </row>
    <row r="40" spans="1:21" x14ac:dyDescent="0.35">
      <c r="A40" s="32" t="s">
        <v>170</v>
      </c>
      <c r="B40" t="s">
        <v>255</v>
      </c>
      <c r="Q40" s="212" t="s">
        <v>456</v>
      </c>
      <c r="R40" s="213"/>
      <c r="S40" s="213"/>
      <c r="T40" s="213"/>
      <c r="U40" s="213"/>
    </row>
    <row r="41" spans="1:21" x14ac:dyDescent="0.35">
      <c r="A41" s="32" t="s">
        <v>200</v>
      </c>
      <c r="B41" t="s">
        <v>252</v>
      </c>
      <c r="Q41" s="212" t="s">
        <v>458</v>
      </c>
      <c r="R41" s="213"/>
      <c r="S41" s="213"/>
      <c r="T41" s="213"/>
      <c r="U41" s="213"/>
    </row>
    <row r="42" spans="1:21" x14ac:dyDescent="0.35">
      <c r="A42" s="32" t="s">
        <v>200</v>
      </c>
      <c r="B42" t="s">
        <v>250</v>
      </c>
      <c r="Q42" s="212" t="s">
        <v>459</v>
      </c>
      <c r="R42" s="213"/>
      <c r="S42" s="213"/>
      <c r="T42" s="213"/>
      <c r="U42" s="213"/>
    </row>
    <row r="43" spans="1:21" x14ac:dyDescent="0.35">
      <c r="A43" s="32" t="s">
        <v>200</v>
      </c>
      <c r="B43" t="s">
        <v>447</v>
      </c>
      <c r="S43" s="213"/>
      <c r="T43" s="213"/>
      <c r="U43" s="213"/>
    </row>
    <row r="44" spans="1:21" x14ac:dyDescent="0.35">
      <c r="A44" s="32" t="s">
        <v>453</v>
      </c>
      <c r="B44" t="s">
        <v>183</v>
      </c>
    </row>
    <row r="45" spans="1:21" x14ac:dyDescent="0.35">
      <c r="A45" s="32" t="s">
        <v>453</v>
      </c>
      <c r="B45" t="s">
        <v>370</v>
      </c>
    </row>
    <row r="46" spans="1:21" x14ac:dyDescent="0.35">
      <c r="A46" s="32" t="s">
        <v>455</v>
      </c>
      <c r="B46" t="s">
        <v>445</v>
      </c>
    </row>
    <row r="47" spans="1:21" x14ac:dyDescent="0.35">
      <c r="A47" s="32" t="s">
        <v>457</v>
      </c>
      <c r="B47" t="s">
        <v>201</v>
      </c>
      <c r="Q47" s="212"/>
      <c r="R47" s="213"/>
      <c r="S47" s="213"/>
      <c r="T47" s="213"/>
      <c r="U47" s="213"/>
    </row>
    <row r="48" spans="1:21" x14ac:dyDescent="0.35">
      <c r="A48" s="32" t="s">
        <v>457</v>
      </c>
      <c r="B48" t="s">
        <v>177</v>
      </c>
    </row>
    <row r="49" spans="1:2" x14ac:dyDescent="0.35">
      <c r="A49" s="32" t="s">
        <v>457</v>
      </c>
      <c r="B49" t="s">
        <v>169</v>
      </c>
    </row>
    <row r="50" spans="1:2" x14ac:dyDescent="0.35">
      <c r="A50" s="32" t="s">
        <v>462</v>
      </c>
      <c r="B50" t="s">
        <v>333</v>
      </c>
    </row>
    <row r="51" spans="1:2" x14ac:dyDescent="0.35">
      <c r="A51" s="32" t="s">
        <v>457</v>
      </c>
      <c r="B51" t="s">
        <v>305</v>
      </c>
    </row>
    <row r="52" spans="1:2" x14ac:dyDescent="0.35">
      <c r="A52" s="32" t="s">
        <v>457</v>
      </c>
      <c r="B52" t="s">
        <v>451</v>
      </c>
    </row>
    <row r="53" spans="1:2" x14ac:dyDescent="0.35">
      <c r="A53" s="32" t="s">
        <v>457</v>
      </c>
      <c r="B53" t="s">
        <v>452</v>
      </c>
    </row>
    <row r="54" spans="1:2" x14ac:dyDescent="0.35">
      <c r="A54" s="32" t="s">
        <v>457</v>
      </c>
      <c r="B54" t="s">
        <v>175</v>
      </c>
    </row>
    <row r="55" spans="1:2" x14ac:dyDescent="0.35">
      <c r="A55" s="32" t="s">
        <v>200</v>
      </c>
      <c r="B55" t="s">
        <v>449</v>
      </c>
    </row>
    <row r="56" spans="1:2" x14ac:dyDescent="0.35">
      <c r="A56" s="32" t="s">
        <v>200</v>
      </c>
      <c r="B56" t="s">
        <v>450</v>
      </c>
    </row>
    <row r="68" spans="1:1" ht="22.25" customHeight="1" x14ac:dyDescent="0.35">
      <c r="A68" s="35" t="s">
        <v>464</v>
      </c>
    </row>
    <row r="69" spans="1:1" ht="14.75" customHeight="1" x14ac:dyDescent="0.35">
      <c r="A69" t="s">
        <v>172</v>
      </c>
    </row>
    <row r="70" spans="1:1" x14ac:dyDescent="0.35">
      <c r="A70" t="s">
        <v>189</v>
      </c>
    </row>
    <row r="71" spans="1:1" x14ac:dyDescent="0.35">
      <c r="A71" t="s">
        <v>254</v>
      </c>
    </row>
    <row r="72" spans="1:1" x14ac:dyDescent="0.35">
      <c r="A72" t="s">
        <v>180</v>
      </c>
    </row>
    <row r="78" spans="1:1" x14ac:dyDescent="0.35">
      <c r="A78" s="40" t="s">
        <v>465</v>
      </c>
    </row>
    <row r="79" spans="1:1" ht="15.5" x14ac:dyDescent="0.35">
      <c r="A79" s="41" t="s">
        <v>466</v>
      </c>
    </row>
    <row r="80" spans="1:1" ht="15.5" x14ac:dyDescent="0.35">
      <c r="A80" s="41" t="s">
        <v>223</v>
      </c>
    </row>
    <row r="81" spans="1:1" ht="15.5" x14ac:dyDescent="0.35">
      <c r="A81" s="41" t="s">
        <v>227</v>
      </c>
    </row>
    <row r="82" spans="1:1" ht="15.5" x14ac:dyDescent="0.35">
      <c r="A82" s="41" t="s">
        <v>225</v>
      </c>
    </row>
    <row r="86" spans="1:1" ht="13.5" customHeight="1" x14ac:dyDescent="0.35"/>
  </sheetData>
  <protectedRanges>
    <protectedRange algorithmName="SHA-512" hashValue="sUOachq0zUS3t2nXsn03ah2M+zUK56z6NdURSnhRYLuMtyH60m+LxxOlOS8kV5+mHlNNtt2YUtyyXamTxahsrA==" saltValue="qf3HLcSP9YQHx5Ja37sLJg==" spinCount="100000" sqref="Q47:U47 Q33:R42 S34:U43 K15:K24" name="custom rates"/>
  </protectedRanges>
  <phoneticPr fontId="6" type="noConversion"/>
  <pageMargins left="0.7" right="0.7" top="0.75" bottom="0.75" header="0.3" footer="0.3"/>
  <pageSetup paperSize="9" orientation="portrait" r:id="rId1"/>
  <headerFooter>
    <oddFooter>&amp;C_x000D_&amp;1#&amp;"Calibri"&amp;10&amp;K000000 Restricted : General Al-Futtaim Group</oddFooter>
  </headerFooter>
  <tableParts count="11">
    <tablePart r:id="rId2"/>
    <tablePart r:id="rId3"/>
    <tablePart r:id="rId4"/>
    <tablePart r:id="rId5"/>
    <tablePart r:id="rId6"/>
    <tablePart r:id="rId7"/>
    <tablePart r:id="rId8"/>
    <tablePart r:id="rId9"/>
    <tablePart r:id="rId10"/>
    <tablePart r:id="rId11"/>
    <tablePart r:id="rId1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02DC393CB7CC744806C382B10167F52" ma:contentTypeVersion="29" ma:contentTypeDescription="Create a new document." ma:contentTypeScope="" ma:versionID="e56d39ba258c2ed773a5a65f4032a5dd">
  <xsd:schema xmlns:xsd="http://www.w3.org/2001/XMLSchema" xmlns:xs="http://www.w3.org/2001/XMLSchema" xmlns:p="http://schemas.microsoft.com/office/2006/metadata/properties" xmlns:ns1="http://schemas.microsoft.com/sharepoint/v3" xmlns:ns2="07664b55-1523-4d2b-8ed8-17bd9ad8cd5b" xmlns:ns3="cf2143e5-dfe3-42d5-bd3b-abacfa37d1c8" targetNamespace="http://schemas.microsoft.com/office/2006/metadata/properties" ma:root="true" ma:fieldsID="28155d76073ee97e69210574f4190fe0" ns1:_="" ns2:_="" ns3:_="">
    <xsd:import namespace="http://schemas.microsoft.com/sharepoint/v3"/>
    <xsd:import namespace="07664b55-1523-4d2b-8ed8-17bd9ad8cd5b"/>
    <xsd:import namespace="cf2143e5-dfe3-42d5-bd3b-abacfa37d1c8"/>
    <xsd:element name="properties">
      <xsd:complexType>
        <xsd:sequence>
          <xsd:element name="documentManagement">
            <xsd:complexType>
              <xsd:all>
                <xsd:element ref="ns2:Document_x0020_Description" minOccurs="0"/>
                <xsd:element ref="ns1:_ExtendedDescription" minOccurs="0"/>
                <xsd:element ref="ns1:_ip_UnifiedCompliancePolicyProperties" minOccurs="0"/>
                <xsd:element ref="ns2:AppType" minOccurs="0"/>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OCR" minOccurs="0"/>
                <xsd:element ref="ns2:MediaServiceGenerationTime" minOccurs="0"/>
                <xsd:element ref="ns2:MediaServiceEventHashCode" minOccurs="0"/>
                <xsd:element ref="ns2:MediaServiceDateTaken" minOccurs="0"/>
                <xsd:element ref="ns1:_ip_UnifiedCompliancePolicyUIAction" minOccurs="0"/>
                <xsd:element ref="ns2:MediaLengthInSeconds" minOccurs="0"/>
                <xsd:element ref="ns2:lcf76f155ced4ddcb4097134ff3c332f" minOccurs="0"/>
                <xsd:element ref="ns3:TaxCatchAll" minOccurs="0"/>
                <xsd:element ref="ns2:Content" minOccurs="0"/>
                <xsd:element ref="ns2:MediaServiceLocation" minOccurs="0"/>
                <xsd:element ref="ns2:MediaServiceSearchProperties" minOccurs="0"/>
                <xsd:element ref="ns2:MediaServiceObjectDetectorVersion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ExtendedDescription" ma:index="3" nillable="true" ma:displayName="Description" ma:internalName="_ExtendedDescription" ma:readOnly="false">
      <xsd:simpleType>
        <xsd:restriction base="dms:Note">
          <xsd:maxLength value="255"/>
        </xsd:restriction>
      </xsd:simpleType>
    </xsd:element>
    <xsd:element name="_ip_UnifiedCompliancePolicyProperties" ma:index="4"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7664b55-1523-4d2b-8ed8-17bd9ad8cd5b" elementFormDefault="qualified">
    <xsd:import namespace="http://schemas.microsoft.com/office/2006/documentManagement/types"/>
    <xsd:import namespace="http://schemas.microsoft.com/office/infopath/2007/PartnerControls"/>
    <xsd:element name="Document_x0020_Description" ma:index="2" nillable="true" ma:displayName="Doc Description" ma:description="AL-Futtaim Test Plan Draft 1" ma:format="Dropdown" ma:internalName="Document_x0020_Description">
      <xsd:simpleType>
        <xsd:restriction base="dms:Note">
          <xsd:maxLength value="255"/>
        </xsd:restriction>
      </xsd:simpleType>
    </xsd:element>
    <xsd:element name="AppType" ma:index="5" nillable="true" ma:displayName="AppType" ma:format="Dropdown" ma:internalName="AppType">
      <xsd:simpleType>
        <xsd:restriction base="dms:Text">
          <xsd:maxLength value="255"/>
        </xsd:restriction>
      </xsd:simple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e23617ca-4540-4c4f-891b-a7532fce8449" ma:termSetId="09814cd3-568e-fe90-9814-8d621ff8fb84" ma:anchorId="fba54fb3-c3e1-fe81-a776-ca4b69148c4d" ma:open="true" ma:isKeyword="false">
      <xsd:complexType>
        <xsd:sequence>
          <xsd:element ref="pc:Terms" minOccurs="0" maxOccurs="1"/>
        </xsd:sequence>
      </xsd:complexType>
    </xsd:element>
    <xsd:element name="Content" ma:index="27" nillable="true" ma:displayName="Content" ma:default="NA" ma:format="Dropdown" ma:internalName="Content">
      <xsd:simpleType>
        <xsd:restriction base="dms:Note"/>
      </xsd:simpleType>
    </xsd:element>
    <xsd:element name="MediaServiceLocation" ma:index="28" nillable="true" ma:displayName="Location" ma:internalName="MediaServiceLocation" ma:readOnly="true">
      <xsd:simpleType>
        <xsd:restriction base="dms:Text"/>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ObjectDetectorVersions" ma:index="30" nillable="true" ma:displayName="MediaServiceObjectDetectorVersions" ma:description="" ma:hidden="true" ma:indexed="true" ma:internalName="MediaServiceObjectDetectorVersions" ma:readOnly="true">
      <xsd:simpleType>
        <xsd:restriction base="dms:Text"/>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f2143e5-dfe3-42d5-bd3b-abacfa37d1c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2e40996c-bda8-41d1-b838-933adfecb51a}" ma:internalName="TaxCatchAll" ma:showField="CatchAllData" ma:web="cf2143e5-dfe3-42d5-bd3b-abacfa37d1c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5"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SharedWithUsers xmlns="cf2143e5-dfe3-42d5-bd3b-abacfa37d1c8">
      <UserInfo>
        <DisplayName>Hessah AlMemari</DisplayName>
        <AccountId>141</AccountId>
        <AccountType/>
      </UserInfo>
      <UserInfo>
        <DisplayName>Denice Ebba Cabang-Business Partner</DisplayName>
        <AccountId>279</AccountId>
        <AccountType/>
      </UserInfo>
      <UserInfo>
        <DisplayName>Sahar Mohammad</DisplayName>
        <AccountId>103</AccountId>
        <AccountType/>
      </UserInfo>
      <UserInfo>
        <DisplayName>Reshma Srinivasa-Business Partner</DisplayName>
        <AccountId>425</AccountId>
        <AccountType/>
      </UserInfo>
      <UserInfo>
        <DisplayName>Chetan Narala-Business Partner</DisplayName>
        <AccountId>296</AccountId>
        <AccountType/>
      </UserInfo>
      <UserInfo>
        <DisplayName>Humaid Ibrahim Altamimi</DisplayName>
        <AccountId>298</AccountId>
        <AccountType/>
      </UserInfo>
      <UserInfo>
        <DisplayName>Shailendra Medhi-Business Partner</DisplayName>
        <AccountId>225</AccountId>
        <AccountType/>
      </UserInfo>
      <UserInfo>
        <DisplayName>Shubi Shefeekh</DisplayName>
        <AccountId>363</AccountId>
        <AccountType/>
      </UserInfo>
      <UserInfo>
        <DisplayName>Christian Walker-Business Partner</DisplayName>
        <AccountId>282</AccountId>
        <AccountType/>
      </UserInfo>
      <UserInfo>
        <DisplayName>Mohini Shinde-Business Partner</DisplayName>
        <AccountId>229</AccountId>
        <AccountType/>
      </UserInfo>
      <UserInfo>
        <DisplayName>Alameen Kotlukar-Business Partner</DisplayName>
        <AccountId>303</AccountId>
        <AccountType/>
      </UserInfo>
      <UserInfo>
        <DisplayName>Sreejith Sivadas</DisplayName>
        <AccountId>362</AccountId>
        <AccountType/>
      </UserInfo>
      <UserInfo>
        <DisplayName>Jurgen Pletsen</DisplayName>
        <AccountId>384</AccountId>
        <AccountType/>
      </UserInfo>
      <UserInfo>
        <DisplayName>Khaja Nisaruddin-Business Partner</DisplayName>
        <AccountId>210</AccountId>
        <AccountType/>
      </UserInfo>
      <UserInfo>
        <DisplayName>Judit Jakubinyi</DisplayName>
        <AccountId>340</AccountId>
        <AccountType/>
      </UserInfo>
      <UserInfo>
        <DisplayName>Murat Sayinta</DisplayName>
        <AccountId>121</AccountId>
        <AccountType/>
      </UserInfo>
      <UserInfo>
        <DisplayName>Nikki Alli</DisplayName>
        <AccountId>205</AccountId>
        <AccountType/>
      </UserInfo>
      <UserInfo>
        <DisplayName>Roshanara Mohamed-Business Partner</DisplayName>
        <AccountId>120</AccountId>
        <AccountType/>
      </UserInfo>
      <UserInfo>
        <DisplayName>Marcelo Poly</DisplayName>
        <AccountId>374</AccountId>
        <AccountType/>
      </UserInfo>
      <UserInfo>
        <DisplayName>Qazi Wasif-Business Partner</DisplayName>
        <AccountId>378</AccountId>
        <AccountType/>
      </UserInfo>
      <UserInfo>
        <DisplayName>Hatice Gokce-Business Partner</DisplayName>
        <AccountId>410</AccountId>
        <AccountType/>
      </UserInfo>
      <UserInfo>
        <DisplayName>Aasif Khan</DisplayName>
        <AccountId>337</AccountId>
        <AccountType/>
      </UserInfo>
      <UserInfo>
        <DisplayName>Swarup Turkar</DisplayName>
        <AccountId>107</AccountId>
        <AccountType/>
      </UserInfo>
      <UserInfo>
        <DisplayName>Vikram Nehru</DisplayName>
        <AccountId>14</AccountId>
        <AccountType/>
      </UserInfo>
      <UserInfo>
        <DisplayName>Akanksha Tiwari</DisplayName>
        <AccountId>113</AccountId>
        <AccountType/>
      </UserInfo>
      <UserInfo>
        <DisplayName>Ritula Gupta</DisplayName>
        <AccountId>393</AccountId>
        <AccountType/>
      </UserInfo>
      <UserInfo>
        <DisplayName>Ali Alolama</DisplayName>
        <AccountId>159</AccountId>
        <AccountType/>
      </UserInfo>
    </SharedWithUsers>
    <TaxCatchAll xmlns="cf2143e5-dfe3-42d5-bd3b-abacfa37d1c8" xsi:nil="true"/>
    <lcf76f155ced4ddcb4097134ff3c332f xmlns="07664b55-1523-4d2b-8ed8-17bd9ad8cd5b">
      <Terms xmlns="http://schemas.microsoft.com/office/infopath/2007/PartnerControls"/>
    </lcf76f155ced4ddcb4097134ff3c332f>
    <_ip_UnifiedCompliancePolicyUIAction xmlns="http://schemas.microsoft.com/sharepoint/v3" xsi:nil="true"/>
    <_ExtendedDescription xmlns="http://schemas.microsoft.com/sharepoint/v3" xsi:nil="true"/>
    <_ip_UnifiedCompliancePolicyProperties xmlns="http://schemas.microsoft.com/sharepoint/v3" xsi:nil="true"/>
    <AppType xmlns="07664b55-1523-4d2b-8ed8-17bd9ad8cd5b" xsi:nil="true"/>
    <Content xmlns="07664b55-1523-4d2b-8ed8-17bd9ad8cd5b">NA</Content>
    <Document_x0020_Description xmlns="07664b55-1523-4d2b-8ed8-17bd9ad8cd5b" xsi:nil="true"/>
  </documentManagement>
</p:properties>
</file>

<file path=customXml/itemProps1.xml><?xml version="1.0" encoding="utf-8"?>
<ds:datastoreItem xmlns:ds="http://schemas.openxmlformats.org/officeDocument/2006/customXml" ds:itemID="{6E166BB1-4DF4-4896-8347-D28A7D9E4E5D}">
  <ds:schemaRefs>
    <ds:schemaRef ds:uri="http://schemas.microsoft.com/sharepoint/v3/contenttype/forms"/>
  </ds:schemaRefs>
</ds:datastoreItem>
</file>

<file path=customXml/itemProps2.xml><?xml version="1.0" encoding="utf-8"?>
<ds:datastoreItem xmlns:ds="http://schemas.openxmlformats.org/officeDocument/2006/customXml" ds:itemID="{D2272D72-0AAA-499D-AD63-3BD66BCD76C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7664b55-1523-4d2b-8ed8-17bd9ad8cd5b"/>
    <ds:schemaRef ds:uri="cf2143e5-dfe3-42d5-bd3b-abacfa37d1c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3D17F9B-2B98-40B7-A851-5F017F5591C8}">
  <ds:schemaRefs>
    <ds:schemaRef ds:uri="http://schemas.microsoft.com/DataMashup"/>
  </ds:schemaRefs>
</ds:datastoreItem>
</file>

<file path=customXml/itemProps4.xml><?xml version="1.0" encoding="utf-8"?>
<ds:datastoreItem xmlns:ds="http://schemas.openxmlformats.org/officeDocument/2006/customXml" ds:itemID="{96F060C0-789D-4E7C-918A-63DF4FD69B16}">
  <ds:schemaRefs>
    <ds:schemaRef ds:uri="07664b55-1523-4d2b-8ed8-17bd9ad8cd5b"/>
    <ds:schemaRef ds:uri="http://schemas.microsoft.com/office/2006/documentManagement/types"/>
    <ds:schemaRef ds:uri="http://schemas.microsoft.com/sharepoint/v3"/>
    <ds:schemaRef ds:uri="cf2143e5-dfe3-42d5-bd3b-abacfa37d1c8"/>
    <ds:schemaRef ds:uri="http://purl.org/dc/elements/1.1/"/>
    <ds:schemaRef ds:uri="http://schemas.microsoft.com/office/infopath/2007/PartnerControls"/>
    <ds:schemaRef ds:uri="http://purl.org/dc/terms/"/>
    <ds:schemaRef ds:uri="http://schemas.microsoft.com/office/2006/metadata/propertie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Intro</vt:lpstr>
      <vt:lpstr>Summary</vt:lpstr>
      <vt:lpstr>Waterfall</vt:lpstr>
      <vt:lpstr>Agile</vt:lpstr>
      <vt:lpstr>Assumptions</vt:lpstr>
      <vt:lpstr>CAPEX - Waterfall</vt:lpstr>
      <vt:lpstr>CAPEX - Agile</vt:lpstr>
      <vt:lpstr>CAPEX - Others</vt:lpstr>
      <vt:lpstr>OPEX</vt:lpstr>
      <vt:lpstr>Cost Benefit Analysis</vt:lpstr>
      <vt:lpstr>Validations</vt:lpstr>
      <vt:lpstr>Roles</vt:lpstr>
      <vt:lpstr>Version History</vt:lpstr>
      <vt:lpstr>Lists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Akanksha Tiwari</dc:creator>
  <cp:keywords/>
  <dc:description/>
  <cp:lastModifiedBy>Riza Rais</cp:lastModifiedBy>
  <cp:revision/>
  <dcterms:created xsi:type="dcterms:W3CDTF">2021-11-20T16:26:54Z</dcterms:created>
  <dcterms:modified xsi:type="dcterms:W3CDTF">2026-03-05T10:47:24Z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0x010100F02DC393CB7CC744806C382B10167F52</vt:lpwstr>
  </property>
  <property fmtid="{D5CDD505-2E9C-101B-9397-08002B2CF9AE}" pid="3" name="MediaServiceImageTags">
    <vt:lpwstr/>
  </property>
  <property fmtid="{D5CDD505-2E9C-101B-9397-08002B2CF9AE}" pid="4" name="MSIP_Label_a8b038a4-b690-439f-9fce-f9c106be0ae1_Enabled">
    <vt:lpwstr>true</vt:lpwstr>
  </property>
  <property fmtid="{D5CDD505-2E9C-101B-9397-08002B2CF9AE}" pid="5" name="MSIP_Label_a8b038a4-b690-439f-9fce-f9c106be0ae1_SetDate">
    <vt:lpwstr>2024-03-04T07:47:11Z</vt:lpwstr>
  </property>
  <property fmtid="{D5CDD505-2E9C-101B-9397-08002B2CF9AE}" pid="6" name="MSIP_Label_a8b038a4-b690-439f-9fce-f9c106be0ae1_Method">
    <vt:lpwstr>Privileged</vt:lpwstr>
  </property>
  <property fmtid="{D5CDD505-2E9C-101B-9397-08002B2CF9AE}" pid="7" name="MSIP_Label_a8b038a4-b690-439f-9fce-f9c106be0ae1_Name">
    <vt:lpwstr>Restricted - No Encryption</vt:lpwstr>
  </property>
  <property fmtid="{D5CDD505-2E9C-101B-9397-08002B2CF9AE}" pid="8" name="MSIP_Label_a8b038a4-b690-439f-9fce-f9c106be0ae1_SiteId">
    <vt:lpwstr>79ddd250-40e1-4d41-ba0f-c9e9849725cb</vt:lpwstr>
  </property>
  <property fmtid="{D5CDD505-2E9C-101B-9397-08002B2CF9AE}" pid="9" name="MSIP_Label_a8b038a4-b690-439f-9fce-f9c106be0ae1_ActionId">
    <vt:lpwstr>8c1ca6cc-4d25-4a53-aec4-da9b9ee4702f</vt:lpwstr>
  </property>
  <property fmtid="{D5CDD505-2E9C-101B-9397-08002B2CF9AE}" pid="10" name="MSIP_Label_a8b038a4-b690-439f-9fce-f9c106be0ae1_ContentBits">
    <vt:lpwstr>2</vt:lpwstr>
  </property>
</Properties>
</file>